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114" codeName="{C80E003A-6C80-AF87-3323-10F97C11A349}"/>
  <workbookPr codeName="ThisWorkbook"/>
  <mc:AlternateContent xmlns:mc="http://schemas.openxmlformats.org/markup-compatibility/2006">
    <mc:Choice Requires="x15">
      <x15ac:absPath xmlns:x15ac="http://schemas.microsoft.com/office/spreadsheetml/2010/11/ac" url="/Users/nathannsiah/Documents/Projects/"/>
    </mc:Choice>
  </mc:AlternateContent>
  <xr:revisionPtr revIDLastSave="0" documentId="13_ncr:1_{AB2B9FB7-D7B3-CD43-9BC7-11FD60B13C5E}" xr6:coauthVersionLast="47" xr6:coauthVersionMax="47" xr10:uidLastSave="{00000000-0000-0000-0000-000000000000}"/>
  <bookViews>
    <workbookView xWindow="0" yWindow="0" windowWidth="28800" windowHeight="18000" activeTab="1" xr2:uid="{00000000-000D-0000-FFFF-FFFF00000000}"/>
  </bookViews>
  <sheets>
    <sheet name="Home" sheetId="1" r:id="rId1"/>
    <sheet name="Baseline Data" sheetId="2" r:id="rId2"/>
    <sheet name="Predictions " sheetId="3" r:id="rId3"/>
    <sheet name="Graphs" sheetId="4" r:id="rId4"/>
    <sheet name="Help" sheetId="6"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31" i="3" l="1"/>
  <c r="E31" i="3" s="1"/>
  <c r="D33" i="4"/>
  <c r="E33" i="4" s="1"/>
  <c r="D32" i="4"/>
  <c r="C32" i="4" s="1"/>
  <c r="D31" i="4"/>
  <c r="E31" i="4" s="1"/>
  <c r="D30" i="4"/>
  <c r="C30" i="4" s="1"/>
  <c r="D29" i="4"/>
  <c r="E29" i="4" s="1"/>
  <c r="D25" i="4"/>
  <c r="E25" i="4" s="1"/>
  <c r="F25" i="4" s="1"/>
  <c r="D24" i="4"/>
  <c r="E24" i="4" s="1"/>
  <c r="F24" i="4" s="1"/>
  <c r="D23" i="4"/>
  <c r="E23" i="4" s="1"/>
  <c r="F23" i="4" s="1"/>
  <c r="D22" i="4"/>
  <c r="E22" i="4" s="1"/>
  <c r="F22" i="4" s="1"/>
  <c r="D21" i="4"/>
  <c r="E21" i="4" s="1"/>
  <c r="F21" i="4" s="1"/>
  <c r="D33" i="3"/>
  <c r="E33" i="3" s="1"/>
  <c r="D32" i="3"/>
  <c r="E32" i="3" s="1"/>
  <c r="D30" i="3"/>
  <c r="E30" i="3" s="1"/>
  <c r="D29" i="3"/>
  <c r="E29" i="3" s="1"/>
  <c r="D25" i="3"/>
  <c r="E25" i="3" s="1"/>
  <c r="F25" i="3" s="1"/>
  <c r="D24" i="3"/>
  <c r="E24" i="3" s="1"/>
  <c r="F24" i="3" s="1"/>
  <c r="D23" i="3"/>
  <c r="E23" i="3" s="1"/>
  <c r="F23" i="3" s="1"/>
  <c r="D22" i="3"/>
  <c r="E22" i="3" s="1"/>
  <c r="F22" i="3" s="1"/>
  <c r="D21" i="3"/>
  <c r="E21" i="3" s="1"/>
  <c r="F21" i="3" s="1"/>
  <c r="E33" i="2"/>
  <c r="F33" i="2" s="1"/>
  <c r="D33" i="2"/>
  <c r="D32" i="2"/>
  <c r="E32" i="2" s="1"/>
  <c r="F32" i="2" s="1"/>
  <c r="D31" i="2"/>
  <c r="E31" i="2" s="1"/>
  <c r="F31" i="2" s="1"/>
  <c r="D30" i="2"/>
  <c r="E30" i="2" s="1"/>
  <c r="F30" i="2" s="1"/>
  <c r="D29" i="2"/>
  <c r="E29" i="2" s="1"/>
  <c r="F29" i="2" s="1"/>
  <c r="D25" i="2"/>
  <c r="E25" i="2" s="1"/>
  <c r="F25" i="2" s="1"/>
  <c r="D24" i="2"/>
  <c r="E24" i="2" s="1"/>
  <c r="F24" i="2" s="1"/>
  <c r="D23" i="2"/>
  <c r="E23" i="2" s="1"/>
  <c r="F23" i="2" s="1"/>
  <c r="D22" i="2"/>
  <c r="E22" i="2" s="1"/>
  <c r="F22" i="2" s="1"/>
  <c r="D21" i="2"/>
  <c r="E21" i="2" s="1"/>
  <c r="F21" i="2" s="1"/>
  <c r="C30" i="3" l="1"/>
  <c r="F30" i="3" s="1"/>
  <c r="C31" i="3"/>
  <c r="F31" i="3" s="1"/>
  <c r="F26" i="3"/>
  <c r="F34" i="2"/>
  <c r="C29" i="4"/>
  <c r="F29" i="4" s="1"/>
  <c r="C33" i="4"/>
  <c r="F33" i="4" s="1"/>
  <c r="E32" i="4"/>
  <c r="F32" i="4" s="1"/>
  <c r="F26" i="4"/>
  <c r="F26" i="2"/>
  <c r="E30" i="4"/>
  <c r="F30" i="4" s="1"/>
  <c r="C32" i="3"/>
  <c r="F32" i="3" s="1"/>
  <c r="C31" i="4"/>
  <c r="F31" i="4" s="1"/>
  <c r="C29" i="3"/>
  <c r="F29" i="3" s="1"/>
  <c r="C33" i="3"/>
  <c r="F33" i="3" s="1"/>
  <c r="F34" i="3" l="1"/>
  <c r="F34" i="4"/>
</calcChain>
</file>

<file path=xl/sharedStrings.xml><?xml version="1.0" encoding="utf-8"?>
<sst xmlns="http://schemas.openxmlformats.org/spreadsheetml/2006/main" count="92" uniqueCount="31">
  <si>
    <t>Home</t>
  </si>
  <si>
    <t>Cheese Town</t>
  </si>
  <si>
    <t>Put Your Mind At Cheese</t>
  </si>
  <si>
    <t>Welcome to cheese town!!!</t>
  </si>
  <si>
    <t>Main Menu:</t>
  </si>
  <si>
    <t xml:space="preserve">We Hope You put Your Mind At Cheese </t>
  </si>
  <si>
    <r>
      <rPr>
        <b/>
        <i/>
        <sz val="14"/>
        <color theme="0"/>
        <rFont val="Kaushan Script"/>
      </rPr>
      <t xml:space="preserve"> </t>
    </r>
    <r>
      <rPr>
        <b/>
        <i/>
        <sz val="16"/>
        <color theme="0"/>
        <rFont val="Forte"/>
      </rPr>
      <t>Menu</t>
    </r>
  </si>
  <si>
    <t>Baseline Data</t>
  </si>
  <si>
    <t xml:space="preserve"> </t>
  </si>
  <si>
    <t>cost per kilo in euros</t>
  </si>
  <si>
    <t>Average monthly sales</t>
  </si>
  <si>
    <t>Sales per KG</t>
  </si>
  <si>
    <t>Profit Per sale Of Cheese</t>
  </si>
  <si>
    <t>Total Profit</t>
  </si>
  <si>
    <t>Exhange Rate</t>
  </si>
  <si>
    <t>Camebert</t>
  </si>
  <si>
    <t>Emmental</t>
  </si>
  <si>
    <t>Profit Margin</t>
  </si>
  <si>
    <t>Gruyere</t>
  </si>
  <si>
    <t>Edem</t>
  </si>
  <si>
    <t>Gouda</t>
  </si>
  <si>
    <t>Cheese</t>
  </si>
  <si>
    <t>Cost Per kilos in Pounds</t>
  </si>
  <si>
    <t>Cheese price</t>
  </si>
  <si>
    <t>Profit Per Sale Of Cheese</t>
  </si>
  <si>
    <t xml:space="preserve">Menu </t>
  </si>
  <si>
    <t>Predictions</t>
  </si>
  <si>
    <t>Revenue</t>
  </si>
  <si>
    <t>Graphs</t>
  </si>
  <si>
    <t>Cheese Price</t>
  </si>
  <si>
    <t>Help Page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</si>
</sst>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quot;£&quot;#,##0;[Red]\-&quot;£&quot;#,##0"/>
    <numFmt numFmtId="165" formatCode="_-[$€-2]\ * #,##0.00_-;\-[$€-2]\ * #,##0.00_-;_-[$€-2]\ * &quot;-&quot;??_-;_-@"/>
    <numFmt numFmtId="166" formatCode="_-&quot;£&quot;* #,##0.00_-;\-&quot;£&quot;* #,##0.00_-;_-&quot;£&quot;* &quot;-&quot;??_-;_-@"/>
    <numFmt numFmtId="167" formatCode="0.0"/>
  </numFmts>
  <fonts count="28">
    <font>
      <sz val="11"/>
      <color theme="1"/>
      <name val="Calibri"/>
      <scheme val="minor"/>
    </font>
    <font>
      <sz val="11"/>
      <color theme="1"/>
      <name val="Calibri"/>
      <family val="2"/>
    </font>
    <font>
      <sz val="11"/>
      <color rgb="FFFF0000"/>
      <name val="Calibri"/>
      <family val="2"/>
    </font>
    <font>
      <sz val="11"/>
      <name val="Calibri"/>
      <family val="2"/>
    </font>
    <font>
      <b/>
      <i/>
      <sz val="14"/>
      <color theme="0"/>
      <name val="Kaushan Script"/>
    </font>
    <font>
      <b/>
      <sz val="26"/>
      <color theme="1"/>
      <name val="Calibri"/>
      <family val="2"/>
    </font>
    <font>
      <sz val="11"/>
      <color theme="1"/>
      <name val="Kaushan Script"/>
    </font>
    <font>
      <sz val="11"/>
      <color theme="0"/>
      <name val="Calibri"/>
      <family val="2"/>
    </font>
    <font>
      <b/>
      <sz val="11"/>
      <color theme="0"/>
      <name val="Calibri"/>
      <family val="2"/>
    </font>
    <font>
      <b/>
      <sz val="11"/>
      <color theme="1"/>
      <name val="Calibri"/>
      <family val="2"/>
    </font>
    <font>
      <b/>
      <i/>
      <sz val="16"/>
      <color theme="0"/>
      <name val="Kaushan Script"/>
    </font>
    <font>
      <sz val="16"/>
      <color theme="1"/>
      <name val="Calibri"/>
      <family val="2"/>
    </font>
    <font>
      <sz val="16"/>
      <color theme="1"/>
      <name val="Kaushan Script"/>
    </font>
    <font>
      <b/>
      <i/>
      <sz val="16"/>
      <color theme="0"/>
      <name val="Forte"/>
    </font>
    <font>
      <sz val="36"/>
      <color theme="1"/>
      <name val="Forte"/>
      <family val="4"/>
    </font>
    <font>
      <sz val="11"/>
      <name val="Forte"/>
      <family val="4"/>
    </font>
    <font>
      <sz val="26"/>
      <color theme="0"/>
      <name val="Forte"/>
      <family val="4"/>
    </font>
    <font>
      <sz val="20"/>
      <color theme="0"/>
      <name val="Forte"/>
      <family val="4"/>
    </font>
    <font>
      <b/>
      <sz val="20"/>
      <color theme="1"/>
      <name val="Forte"/>
      <family val="4"/>
    </font>
    <font>
      <sz val="18"/>
      <color theme="1"/>
      <name val="Forte"/>
      <family val="4"/>
    </font>
    <font>
      <sz val="18"/>
      <color theme="0"/>
      <name val="Forte"/>
      <family val="4"/>
    </font>
    <font>
      <sz val="20"/>
      <color theme="1"/>
      <name val="Forte"/>
      <family val="4"/>
    </font>
    <font>
      <sz val="11"/>
      <color theme="0"/>
      <name val="Calibri"/>
      <family val="2"/>
    </font>
    <font>
      <b/>
      <sz val="11"/>
      <color theme="0"/>
      <name val="Calibri"/>
      <family val="2"/>
    </font>
    <font>
      <sz val="11"/>
      <name val="Calibri"/>
      <family val="2"/>
    </font>
    <font>
      <b/>
      <sz val="11"/>
      <name val="Calibri"/>
      <family val="2"/>
    </font>
    <font>
      <sz val="20"/>
      <name val="Forte"/>
      <family val="4"/>
    </font>
    <font>
      <sz val="11"/>
      <color theme="1"/>
      <name val="Calibri"/>
      <family val="2"/>
    </font>
  </fonts>
  <fills count="5">
    <fill>
      <patternFill patternType="none"/>
    </fill>
    <fill>
      <patternFill patternType="gray125"/>
    </fill>
    <fill>
      <patternFill patternType="solid">
        <fgColor theme="0"/>
        <bgColor theme="0"/>
      </patternFill>
    </fill>
    <fill>
      <patternFill patternType="solid">
        <fgColor theme="1"/>
        <bgColor theme="1"/>
      </patternFill>
    </fill>
    <fill>
      <patternFill patternType="solid">
        <fgColor theme="1"/>
        <bgColor indexed="64"/>
      </patternFill>
    </fill>
  </fills>
  <borders count="14">
    <border>
      <left/>
      <right/>
      <top/>
      <bottom/>
      <diagonal/>
    </border>
    <border>
      <left/>
      <right/>
      <top/>
      <bottom/>
      <diagonal/>
    </border>
    <border>
      <left/>
      <right/>
      <top/>
      <bottom/>
      <diagonal/>
    </border>
    <border>
      <left/>
      <right/>
      <top/>
      <bottom/>
      <diagonal/>
    </border>
    <border>
      <left/>
      <right/>
      <top/>
      <bottom/>
      <diagonal/>
    </border>
    <border>
      <left style="thin">
        <color rgb="FF000000"/>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bottom/>
      <diagonal/>
    </border>
    <border>
      <left style="thin">
        <color indexed="64"/>
      </left>
      <right style="thin">
        <color indexed="64"/>
      </right>
      <top style="thin">
        <color indexed="64"/>
      </top>
      <bottom style="thin">
        <color indexed="64"/>
      </bottom>
      <diagonal/>
    </border>
    <border>
      <left style="medium">
        <color rgb="FF000000"/>
      </left>
      <right style="medium">
        <color rgb="FF000000"/>
      </right>
      <top style="medium">
        <color rgb="FF000000"/>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s>
  <cellStyleXfs count="1">
    <xf numFmtId="0" fontId="0" fillId="0" borderId="0"/>
  </cellStyleXfs>
  <cellXfs count="79">
    <xf numFmtId="0" fontId="0" fillId="0" borderId="0" xfId="0"/>
    <xf numFmtId="0" fontId="1" fillId="2" borderId="1" xfId="0" applyFont="1" applyFill="1" applyBorder="1"/>
    <xf numFmtId="0" fontId="2" fillId="3" borderId="1" xfId="0" applyFont="1" applyFill="1" applyBorder="1"/>
    <xf numFmtId="0" fontId="6" fillId="2" borderId="1" xfId="0" applyFont="1" applyFill="1" applyBorder="1" applyAlignment="1">
      <alignment horizontal="center"/>
    </xf>
    <xf numFmtId="0" fontId="1" fillId="3" borderId="1" xfId="0" applyFont="1" applyFill="1" applyBorder="1"/>
    <xf numFmtId="0" fontId="2" fillId="2" borderId="1" xfId="0" applyFont="1" applyFill="1" applyBorder="1"/>
    <xf numFmtId="0" fontId="7" fillId="2" borderId="1" xfId="0" applyFont="1" applyFill="1" applyBorder="1"/>
    <xf numFmtId="9" fontId="7" fillId="2" borderId="1" xfId="0" applyNumberFormat="1" applyFont="1" applyFill="1" applyBorder="1"/>
    <xf numFmtId="0" fontId="8" fillId="2" borderId="1" xfId="0" applyFont="1" applyFill="1" applyBorder="1"/>
    <xf numFmtId="0" fontId="1" fillId="2" borderId="5" xfId="0" applyFont="1" applyFill="1" applyBorder="1"/>
    <xf numFmtId="165" fontId="7" fillId="2" borderId="1" xfId="0" applyNumberFormat="1" applyFont="1" applyFill="1" applyBorder="1"/>
    <xf numFmtId="9" fontId="1" fillId="2" borderId="5" xfId="0" applyNumberFormat="1" applyFont="1" applyFill="1" applyBorder="1"/>
    <xf numFmtId="0" fontId="9" fillId="2" borderId="6" xfId="0" applyFont="1" applyFill="1" applyBorder="1"/>
    <xf numFmtId="0" fontId="1" fillId="2" borderId="6" xfId="0" applyFont="1" applyFill="1" applyBorder="1"/>
    <xf numFmtId="166" fontId="1" fillId="2" borderId="6" xfId="0" applyNumberFormat="1" applyFont="1" applyFill="1" applyBorder="1"/>
    <xf numFmtId="166" fontId="1" fillId="2" borderId="1" xfId="0" applyNumberFormat="1" applyFont="1" applyFill="1" applyBorder="1"/>
    <xf numFmtId="0" fontId="11" fillId="2" borderId="1" xfId="0" applyFont="1" applyFill="1" applyBorder="1"/>
    <xf numFmtId="0" fontId="12" fillId="2" borderId="1" xfId="0" applyFont="1" applyFill="1" applyBorder="1" applyAlignment="1">
      <alignment horizontal="center"/>
    </xf>
    <xf numFmtId="166" fontId="7" fillId="2" borderId="1" xfId="0" applyNumberFormat="1" applyFont="1" applyFill="1" applyBorder="1"/>
    <xf numFmtId="0" fontId="9" fillId="2" borderId="1" xfId="0" applyFont="1" applyFill="1" applyBorder="1"/>
    <xf numFmtId="1" fontId="1" fillId="2" borderId="6" xfId="0" applyNumberFormat="1" applyFont="1" applyFill="1" applyBorder="1"/>
    <xf numFmtId="0" fontId="1" fillId="2" borderId="7" xfId="0" applyFont="1" applyFill="1" applyBorder="1"/>
    <xf numFmtId="164" fontId="1" fillId="2" borderId="1" xfId="0" applyNumberFormat="1" applyFont="1" applyFill="1" applyBorder="1"/>
    <xf numFmtId="0" fontId="1" fillId="0" borderId="0" xfId="0" applyFont="1"/>
    <xf numFmtId="0" fontId="16" fillId="3" borderId="1" xfId="0" applyFont="1" applyFill="1" applyBorder="1" applyAlignment="1">
      <alignment horizontal="center"/>
    </xf>
    <xf numFmtId="0" fontId="21" fillId="2" borderId="1" xfId="0" applyFont="1" applyFill="1" applyBorder="1" applyAlignment="1">
      <alignment horizontal="center"/>
    </xf>
    <xf numFmtId="0" fontId="1" fillId="2" borderId="4" xfId="0" applyFont="1" applyFill="1" applyBorder="1"/>
    <xf numFmtId="166" fontId="22" fillId="2" borderId="4" xfId="0" applyNumberFormat="1" applyFont="1" applyFill="1" applyBorder="1"/>
    <xf numFmtId="0" fontId="22" fillId="2" borderId="4" xfId="0" applyFont="1" applyFill="1" applyBorder="1"/>
    <xf numFmtId="0" fontId="23" fillId="2" borderId="4" xfId="0" applyFont="1" applyFill="1" applyBorder="1"/>
    <xf numFmtId="165" fontId="22" fillId="2" borderId="4" xfId="0" applyNumberFormat="1" applyFont="1" applyFill="1" applyBorder="1"/>
    <xf numFmtId="9" fontId="22" fillId="2" borderId="4" xfId="0" applyNumberFormat="1" applyFont="1" applyFill="1" applyBorder="1"/>
    <xf numFmtId="1" fontId="22" fillId="2" borderId="4" xfId="0" applyNumberFormat="1" applyFont="1" applyFill="1" applyBorder="1"/>
    <xf numFmtId="0" fontId="24" fillId="2" borderId="1" xfId="0" applyFont="1" applyFill="1" applyBorder="1"/>
    <xf numFmtId="0" fontId="24" fillId="0" borderId="0" xfId="0" applyFont="1"/>
    <xf numFmtId="0" fontId="23" fillId="2" borderId="1" xfId="0" applyFont="1" applyFill="1" applyBorder="1"/>
    <xf numFmtId="165" fontId="22" fillId="2" borderId="1" xfId="0" applyNumberFormat="1" applyFont="1" applyFill="1" applyBorder="1"/>
    <xf numFmtId="0" fontId="25" fillId="2" borderId="8" xfId="0" applyFont="1" applyFill="1" applyBorder="1"/>
    <xf numFmtId="165" fontId="24" fillId="2" borderId="8" xfId="0" applyNumberFormat="1" applyFont="1" applyFill="1" applyBorder="1"/>
    <xf numFmtId="0" fontId="24" fillId="2" borderId="8" xfId="0" applyFont="1" applyFill="1" applyBorder="1"/>
    <xf numFmtId="167" fontId="1" fillId="2" borderId="5" xfId="0" applyNumberFormat="1" applyFont="1" applyFill="1" applyBorder="1"/>
    <xf numFmtId="0" fontId="22" fillId="2" borderId="1" xfId="0" applyFont="1" applyFill="1" applyBorder="1"/>
    <xf numFmtId="0" fontId="24" fillId="2" borderId="4" xfId="0" applyFont="1" applyFill="1" applyBorder="1"/>
    <xf numFmtId="166" fontId="22" fillId="2" borderId="1" xfId="0" applyNumberFormat="1" applyFont="1" applyFill="1" applyBorder="1"/>
    <xf numFmtId="166" fontId="24" fillId="2" borderId="4" xfId="0" applyNumberFormat="1" applyFont="1" applyFill="1" applyBorder="1"/>
    <xf numFmtId="0" fontId="25" fillId="2" borderId="1" xfId="0" applyFont="1" applyFill="1" applyBorder="1"/>
    <xf numFmtId="0" fontId="25" fillId="2" borderId="4" xfId="0" applyFont="1" applyFill="1" applyBorder="1"/>
    <xf numFmtId="9" fontId="24" fillId="2" borderId="1" xfId="0" applyNumberFormat="1" applyFont="1" applyFill="1" applyBorder="1"/>
    <xf numFmtId="165" fontId="24" fillId="2" borderId="4" xfId="0" applyNumberFormat="1" applyFont="1" applyFill="1" applyBorder="1"/>
    <xf numFmtId="9" fontId="24" fillId="2" borderId="4" xfId="0" applyNumberFormat="1" applyFont="1" applyFill="1" applyBorder="1"/>
    <xf numFmtId="1" fontId="24" fillId="2" borderId="4" xfId="0" applyNumberFormat="1" applyFont="1" applyFill="1" applyBorder="1"/>
    <xf numFmtId="164" fontId="24" fillId="2" borderId="1" xfId="0" applyNumberFormat="1" applyFont="1" applyFill="1" applyBorder="1"/>
    <xf numFmtId="0" fontId="27" fillId="2" borderId="1" xfId="0" applyFont="1" applyFill="1" applyBorder="1"/>
    <xf numFmtId="0" fontId="0" fillId="4" borderId="0" xfId="0" applyFill="1"/>
    <xf numFmtId="0" fontId="1" fillId="2" borderId="9" xfId="0" applyFont="1" applyFill="1" applyBorder="1"/>
    <xf numFmtId="1" fontId="1" fillId="2" borderId="9" xfId="0" applyNumberFormat="1" applyFont="1" applyFill="1" applyBorder="1"/>
    <xf numFmtId="166" fontId="1" fillId="2" borderId="9" xfId="0" applyNumberFormat="1" applyFont="1" applyFill="1" applyBorder="1"/>
    <xf numFmtId="0" fontId="1" fillId="2" borderId="10" xfId="0" applyFont="1" applyFill="1" applyBorder="1"/>
    <xf numFmtId="0" fontId="1" fillId="2" borderId="11" xfId="0" applyFont="1" applyFill="1" applyBorder="1"/>
    <xf numFmtId="166" fontId="1" fillId="2" borderId="12" xfId="0" applyNumberFormat="1" applyFont="1" applyFill="1" applyBorder="1"/>
    <xf numFmtId="0" fontId="1" fillId="2" borderId="13" xfId="0" applyFont="1" applyFill="1" applyBorder="1"/>
    <xf numFmtId="0" fontId="14" fillId="2" borderId="2" xfId="0" applyFont="1" applyFill="1" applyBorder="1" applyAlignment="1">
      <alignment horizontal="center"/>
    </xf>
    <xf numFmtId="0" fontId="15" fillId="0" borderId="3" xfId="0" applyFont="1" applyBorder="1"/>
    <xf numFmtId="0" fontId="15" fillId="0" borderId="4" xfId="0" applyFont="1" applyBorder="1"/>
    <xf numFmtId="0" fontId="18" fillId="2" borderId="2" xfId="0" applyFont="1" applyFill="1" applyBorder="1" applyAlignment="1">
      <alignment horizontal="center"/>
    </xf>
    <xf numFmtId="0" fontId="19" fillId="2" borderId="2" xfId="0" applyFont="1" applyFill="1" applyBorder="1" applyAlignment="1">
      <alignment horizontal="center"/>
    </xf>
    <xf numFmtId="0" fontId="17" fillId="3" borderId="1" xfId="0" applyFont="1" applyFill="1" applyBorder="1" applyAlignment="1">
      <alignment horizontal="center"/>
    </xf>
    <xf numFmtId="0" fontId="14" fillId="2" borderId="1" xfId="0" applyFont="1" applyFill="1" applyBorder="1" applyAlignment="1">
      <alignment horizontal="center" vertical="center"/>
    </xf>
    <xf numFmtId="0" fontId="4" fillId="2" borderId="2" xfId="0" applyFont="1" applyFill="1" applyBorder="1" applyAlignment="1">
      <alignment horizontal="center"/>
    </xf>
    <xf numFmtId="0" fontId="3" fillId="0" borderId="4" xfId="0" applyFont="1" applyBorder="1"/>
    <xf numFmtId="0" fontId="5" fillId="2" borderId="2" xfId="0" applyFont="1" applyFill="1" applyBorder="1" applyAlignment="1">
      <alignment horizontal="center"/>
    </xf>
    <xf numFmtId="0" fontId="3" fillId="0" borderId="3" xfId="0" applyFont="1" applyBorder="1"/>
    <xf numFmtId="0" fontId="17" fillId="3" borderId="2" xfId="0" applyFont="1" applyFill="1" applyBorder="1" applyAlignment="1">
      <alignment horizontal="center"/>
    </xf>
    <xf numFmtId="0" fontId="26" fillId="0" borderId="3" xfId="0" applyFont="1" applyBorder="1"/>
    <xf numFmtId="0" fontId="26" fillId="0" borderId="4" xfId="0" applyFont="1" applyBorder="1"/>
    <xf numFmtId="0" fontId="10" fillId="2" borderId="4" xfId="0" applyFont="1" applyFill="1" applyBorder="1" applyAlignment="1">
      <alignment horizontal="center"/>
    </xf>
    <xf numFmtId="0" fontId="20" fillId="3" borderId="2" xfId="0" applyFont="1" applyFill="1" applyBorder="1" applyAlignment="1">
      <alignment horizontal="center"/>
    </xf>
    <xf numFmtId="0" fontId="10" fillId="2" borderId="2" xfId="0" applyFont="1" applyFill="1" applyBorder="1" applyAlignment="1">
      <alignment horizontal="center"/>
    </xf>
    <xf numFmtId="0" fontId="16" fillId="3" borderId="2" xfId="0" applyFont="1" applyFill="1" applyBorder="1" applyAlignment="1">
      <alignment horizontal="center"/>
    </xf>
  </cellXfs>
  <cellStyles count="1">
    <cellStyle name="Normal" xfId="0" builtinId="0"/>
  </cellStyles>
  <dxfs count="4">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Graphs!$C$28</c:f>
              <c:strCache>
                <c:ptCount val="1"/>
                <c:pt idx="0">
                  <c:v>Average monthly sales</c:v>
                </c:pt>
              </c:strCache>
            </c:strRef>
          </c:tx>
          <c:spPr>
            <a:solidFill>
              <a:schemeClr val="accent1"/>
            </a:solidFill>
            <a:ln>
              <a:noFill/>
            </a:ln>
            <a:effectLst/>
          </c:spPr>
          <c:invertIfNegative val="0"/>
          <c:cat>
            <c:strRef>
              <c:f>Graphs!$B$29:$B$33</c:f>
              <c:strCache>
                <c:ptCount val="5"/>
                <c:pt idx="0">
                  <c:v>Camebert</c:v>
                </c:pt>
                <c:pt idx="1">
                  <c:v>Emmental</c:v>
                </c:pt>
                <c:pt idx="2">
                  <c:v>Gruyere</c:v>
                </c:pt>
                <c:pt idx="3">
                  <c:v>Edem</c:v>
                </c:pt>
                <c:pt idx="4">
                  <c:v>Gouda</c:v>
                </c:pt>
              </c:strCache>
            </c:strRef>
          </c:cat>
          <c:val>
            <c:numRef>
              <c:f>Graphs!$C$29:$C$33</c:f>
              <c:numCache>
                <c:formatCode>0</c:formatCode>
                <c:ptCount val="5"/>
                <c:pt idx="0">
                  <c:v>900.00000000000136</c:v>
                </c:pt>
                <c:pt idx="1">
                  <c:v>850.00000000000068</c:v>
                </c:pt>
                <c:pt idx="2">
                  <c:v>875</c:v>
                </c:pt>
                <c:pt idx="3">
                  <c:v>825.00000000000136</c:v>
                </c:pt>
                <c:pt idx="4">
                  <c:v>700.00000000000068</c:v>
                </c:pt>
              </c:numCache>
            </c:numRef>
          </c:val>
          <c:extLst>
            <c:ext xmlns:c16="http://schemas.microsoft.com/office/drawing/2014/chart" uri="{C3380CC4-5D6E-409C-BE32-E72D297353CC}">
              <c16:uniqueId val="{00000000-E26A-4058-BC33-0FB6C29BF623}"/>
            </c:ext>
          </c:extLst>
        </c:ser>
        <c:dLbls>
          <c:showLegendKey val="0"/>
          <c:showVal val="0"/>
          <c:showCatName val="0"/>
          <c:showSerName val="0"/>
          <c:showPercent val="0"/>
          <c:showBubbleSize val="0"/>
        </c:dLbls>
        <c:gapWidth val="219"/>
        <c:overlap val="-27"/>
        <c:axId val="492080223"/>
        <c:axId val="492080639"/>
      </c:barChart>
      <c:catAx>
        <c:axId val="4920802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080639"/>
        <c:crosses val="autoZero"/>
        <c:auto val="1"/>
        <c:lblAlgn val="ctr"/>
        <c:lblOffset val="100"/>
        <c:noMultiLvlLbl val="0"/>
      </c:catAx>
      <c:valAx>
        <c:axId val="49208063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08022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Graphs!$F$28</c:f>
              <c:strCache>
                <c:ptCount val="1"/>
                <c:pt idx="0">
                  <c:v>Revenue</c:v>
                </c:pt>
              </c:strCache>
            </c:strRef>
          </c:tx>
          <c:spPr>
            <a:solidFill>
              <a:schemeClr val="accent1"/>
            </a:solidFill>
            <a:ln>
              <a:noFill/>
            </a:ln>
            <a:effectLst/>
          </c:spPr>
          <c:invertIfNegative val="0"/>
          <c:cat>
            <c:strRef>
              <c:f>Graphs!$B$29:$B$33</c:f>
              <c:strCache>
                <c:ptCount val="5"/>
                <c:pt idx="0">
                  <c:v>Camebert</c:v>
                </c:pt>
                <c:pt idx="1">
                  <c:v>Emmental</c:v>
                </c:pt>
                <c:pt idx="2">
                  <c:v>Gruyere</c:v>
                </c:pt>
                <c:pt idx="3">
                  <c:v>Edem</c:v>
                </c:pt>
                <c:pt idx="4">
                  <c:v>Gouda</c:v>
                </c:pt>
              </c:strCache>
            </c:strRef>
          </c:cat>
          <c:val>
            <c:numRef>
              <c:f>Graphs!$F$29:$F$33</c:f>
              <c:numCache>
                <c:formatCode>_-"£"* #,##0.00_-;\-"£"* #,##0.00_-;_-"£"* "-"??_-;_-@</c:formatCode>
                <c:ptCount val="5"/>
                <c:pt idx="0">
                  <c:v>7056.0000000000045</c:v>
                </c:pt>
                <c:pt idx="1">
                  <c:v>7616.0000000000036</c:v>
                </c:pt>
                <c:pt idx="2">
                  <c:v>8574.9999999999982</c:v>
                </c:pt>
                <c:pt idx="3">
                  <c:v>6699.0000000000064</c:v>
                </c:pt>
                <c:pt idx="4">
                  <c:v>6076.0000000000036</c:v>
                </c:pt>
              </c:numCache>
            </c:numRef>
          </c:val>
          <c:extLst>
            <c:ext xmlns:c16="http://schemas.microsoft.com/office/drawing/2014/chart" uri="{C3380CC4-5D6E-409C-BE32-E72D297353CC}">
              <c16:uniqueId val="{00000000-8215-4235-A67F-6394DF9B6B16}"/>
            </c:ext>
          </c:extLst>
        </c:ser>
        <c:dLbls>
          <c:showLegendKey val="0"/>
          <c:showVal val="0"/>
          <c:showCatName val="0"/>
          <c:showSerName val="0"/>
          <c:showPercent val="0"/>
          <c:showBubbleSize val="0"/>
        </c:dLbls>
        <c:gapWidth val="182"/>
        <c:axId val="564720607"/>
        <c:axId val="564722271"/>
      </c:barChart>
      <c:catAx>
        <c:axId val="5647206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722271"/>
        <c:crosses val="autoZero"/>
        <c:auto val="1"/>
        <c:lblAlgn val="ctr"/>
        <c:lblOffset val="100"/>
        <c:noMultiLvlLbl val="0"/>
      </c:catAx>
      <c:valAx>
        <c:axId val="564722271"/>
        <c:scaling>
          <c:orientation val="minMax"/>
        </c:scaling>
        <c:delete val="0"/>
        <c:axPos val="b"/>
        <c:majorGridlines>
          <c:spPr>
            <a:ln w="9525" cap="flat" cmpd="sng" algn="ctr">
              <a:solidFill>
                <a:schemeClr val="tx1">
                  <a:lumMod val="15000"/>
                  <a:lumOff val="85000"/>
                </a:schemeClr>
              </a:solidFill>
              <a:round/>
            </a:ln>
            <a:effectLst/>
          </c:spPr>
        </c:majorGridlines>
        <c:numFmt formatCode="_-&quot;£&quot;* #,##0.00_-;\-&quot;£&quot;* #,##0.00_-;_-&quot;£&quot;* &quot;-&quot;??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7206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3.png"/><Relationship Id="rId1" Type="http://schemas.openxmlformats.org/officeDocument/2006/relationships/image" Target="../media/image1.png"/><Relationship Id="rId4" Type="http://schemas.openxmlformats.org/officeDocument/2006/relationships/chart" Target="../charts/chart2.xml"/></Relationships>
</file>

<file path=xl/drawings/_rels/drawing5.xml.rels><?xml version="1.0" encoding="UTF-8" standalone="yes"?>
<Relationships xmlns="http://schemas.openxmlformats.org/package/2006/relationships"><Relationship Id="rId3" Type="http://schemas.openxmlformats.org/officeDocument/2006/relationships/image" Target="../media/image4.jpg"/><Relationship Id="rId2" Type="http://schemas.openxmlformats.org/officeDocument/2006/relationships/image" Target="../media/image3.png"/><Relationship Id="rId1" Type="http://schemas.openxmlformats.org/officeDocument/2006/relationships/image" Target="../media/image1.png"/><Relationship Id="rId4" Type="http://schemas.openxmlformats.org/officeDocument/2006/relationships/hyperlink" Target="https://imgflip.com/meme/116623327/Tom-and-Jerry-Goons" TargetMode="External"/></Relationships>
</file>

<file path=xl/drawings/drawing1.xml><?xml version="1.0" encoding="utf-8"?>
<xdr:wsDr xmlns:xdr="http://schemas.openxmlformats.org/drawingml/2006/spreadsheetDrawing" xmlns:a="http://schemas.openxmlformats.org/drawingml/2006/main">
  <xdr:oneCellAnchor>
    <xdr:from>
      <xdr:col>9</xdr:col>
      <xdr:colOff>209550</xdr:colOff>
      <xdr:row>22</xdr:row>
      <xdr:rowOff>104775</xdr:rowOff>
    </xdr:from>
    <xdr:ext cx="2105025" cy="942975"/>
    <xdr:sp macro="" textlink="">
      <xdr:nvSpPr>
        <xdr:cNvPr id="3" name="Shape 3">
          <a:extLst>
            <a:ext uri="{FF2B5EF4-FFF2-40B4-BE49-F238E27FC236}">
              <a16:creationId xmlns:a16="http://schemas.microsoft.com/office/drawing/2014/main" id="{00000000-0008-0000-0000-000003000000}"/>
            </a:ext>
          </a:extLst>
        </xdr:cNvPr>
        <xdr:cNvSpPr/>
      </xdr:nvSpPr>
      <xdr:spPr>
        <a:xfrm>
          <a:off x="4298250" y="3313275"/>
          <a:ext cx="2095500" cy="933450"/>
        </a:xfrm>
        <a:prstGeom prst="rect">
          <a:avLst/>
        </a:prstGeom>
        <a:solidFill>
          <a:schemeClr val="accent4"/>
        </a:solidFill>
        <a:ln w="12700" cap="flat" cmpd="sng">
          <a:solidFill>
            <a:srgbClr val="42719B"/>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ctr" rtl="0">
            <a:spcBef>
              <a:spcPts val="0"/>
            </a:spcBef>
            <a:spcAft>
              <a:spcPts val="0"/>
            </a:spcAft>
            <a:buNone/>
          </a:pPr>
          <a:r>
            <a:rPr lang="en-US" sz="1800">
              <a:solidFill>
                <a:srgbClr val="000000"/>
              </a:solidFill>
              <a:latin typeface="Kaushan Script"/>
              <a:ea typeface="Kaushan Script"/>
              <a:cs typeface="Kaushan Script"/>
              <a:sym typeface="Kaushan Script"/>
            </a:rPr>
            <a:t>Home </a:t>
          </a:r>
          <a:endParaRPr sz="1400"/>
        </a:p>
      </xdr:txBody>
    </xdr:sp>
    <xdr:clientData fLocksWithSheet="0"/>
  </xdr:oneCellAnchor>
  <xdr:oneCellAnchor>
    <xdr:from>
      <xdr:col>9</xdr:col>
      <xdr:colOff>200025</xdr:colOff>
      <xdr:row>27</xdr:row>
      <xdr:rowOff>133350</xdr:rowOff>
    </xdr:from>
    <xdr:ext cx="2105025" cy="962025"/>
    <xdr:sp macro="[0]!graphsBtn1" textlink="">
      <xdr:nvSpPr>
        <xdr:cNvPr id="4" name="Shape 4">
          <a:extLst>
            <a:ext uri="{FF2B5EF4-FFF2-40B4-BE49-F238E27FC236}">
              <a16:creationId xmlns:a16="http://schemas.microsoft.com/office/drawing/2014/main" id="{00000000-0008-0000-0000-000004000000}"/>
            </a:ext>
          </a:extLst>
        </xdr:cNvPr>
        <xdr:cNvSpPr/>
      </xdr:nvSpPr>
      <xdr:spPr>
        <a:xfrm>
          <a:off x="4298250" y="3303750"/>
          <a:ext cx="2095500" cy="952500"/>
        </a:xfrm>
        <a:prstGeom prst="rect">
          <a:avLst/>
        </a:prstGeom>
        <a:solidFill>
          <a:schemeClr val="accent4"/>
        </a:solidFill>
        <a:ln w="12700" cap="flat" cmpd="sng">
          <a:solidFill>
            <a:srgbClr val="42719B"/>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ctr" rtl="0">
            <a:spcBef>
              <a:spcPts val="0"/>
            </a:spcBef>
            <a:spcAft>
              <a:spcPts val="0"/>
            </a:spcAft>
            <a:buNone/>
          </a:pPr>
          <a:r>
            <a:rPr lang="en-US" sz="1600">
              <a:solidFill>
                <a:srgbClr val="000000"/>
              </a:solidFill>
              <a:latin typeface="Kaushan Script"/>
              <a:ea typeface="Kaushan Script"/>
              <a:cs typeface="Kaushan Script"/>
              <a:sym typeface="Kaushan Script"/>
            </a:rPr>
            <a:t>Graphs</a:t>
          </a:r>
          <a:endParaRPr sz="1400"/>
        </a:p>
      </xdr:txBody>
    </xdr:sp>
    <xdr:clientData fLocksWithSheet="0"/>
  </xdr:oneCellAnchor>
  <xdr:oneCellAnchor>
    <xdr:from>
      <xdr:col>9</xdr:col>
      <xdr:colOff>190500</xdr:colOff>
      <xdr:row>33</xdr:row>
      <xdr:rowOff>0</xdr:rowOff>
    </xdr:from>
    <xdr:ext cx="2105025" cy="923925"/>
    <xdr:sp macro="[0]!BaselineBtn" textlink="">
      <xdr:nvSpPr>
        <xdr:cNvPr id="5" name="Shape 5">
          <a:extLst>
            <a:ext uri="{FF2B5EF4-FFF2-40B4-BE49-F238E27FC236}">
              <a16:creationId xmlns:a16="http://schemas.microsoft.com/office/drawing/2014/main" id="{00000000-0008-0000-0000-000005000000}"/>
            </a:ext>
          </a:extLst>
        </xdr:cNvPr>
        <xdr:cNvSpPr/>
      </xdr:nvSpPr>
      <xdr:spPr>
        <a:xfrm>
          <a:off x="4298250" y="3322800"/>
          <a:ext cx="2095500" cy="914400"/>
        </a:xfrm>
        <a:prstGeom prst="rect">
          <a:avLst/>
        </a:prstGeom>
        <a:solidFill>
          <a:schemeClr val="accent4"/>
        </a:solidFill>
        <a:ln w="12700" cap="flat" cmpd="sng">
          <a:solidFill>
            <a:srgbClr val="42719B"/>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ctr" rtl="0">
            <a:spcBef>
              <a:spcPts val="0"/>
            </a:spcBef>
            <a:spcAft>
              <a:spcPts val="0"/>
            </a:spcAft>
            <a:buNone/>
          </a:pPr>
          <a:r>
            <a:rPr lang="en-US" sz="1600">
              <a:solidFill>
                <a:srgbClr val="000000"/>
              </a:solidFill>
              <a:latin typeface="Kaushan Script"/>
              <a:ea typeface="Kaushan Script"/>
              <a:cs typeface="Kaushan Script"/>
              <a:sym typeface="Kaushan Script"/>
            </a:rPr>
            <a:t>Baseline Data</a:t>
          </a:r>
          <a:endParaRPr sz="1400"/>
        </a:p>
      </xdr:txBody>
    </xdr:sp>
    <xdr:clientData fLocksWithSheet="0"/>
  </xdr:oneCellAnchor>
  <xdr:oneCellAnchor>
    <xdr:from>
      <xdr:col>9</xdr:col>
      <xdr:colOff>190500</xdr:colOff>
      <xdr:row>38</xdr:row>
      <xdr:rowOff>19050</xdr:rowOff>
    </xdr:from>
    <xdr:ext cx="2105025" cy="923925"/>
    <xdr:sp macro="[0]!Predictionsbtn" textlink="">
      <xdr:nvSpPr>
        <xdr:cNvPr id="6" name="Shape 6">
          <a:extLst>
            <a:ext uri="{FF2B5EF4-FFF2-40B4-BE49-F238E27FC236}">
              <a16:creationId xmlns:a16="http://schemas.microsoft.com/office/drawing/2014/main" id="{00000000-0008-0000-0000-000006000000}"/>
            </a:ext>
          </a:extLst>
        </xdr:cNvPr>
        <xdr:cNvSpPr/>
      </xdr:nvSpPr>
      <xdr:spPr>
        <a:xfrm>
          <a:off x="4298250" y="3327563"/>
          <a:ext cx="2095500" cy="904875"/>
        </a:xfrm>
        <a:prstGeom prst="rect">
          <a:avLst/>
        </a:prstGeom>
        <a:solidFill>
          <a:schemeClr val="accent4"/>
        </a:solidFill>
        <a:ln w="12700" cap="flat" cmpd="sng">
          <a:solidFill>
            <a:srgbClr val="42719B"/>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ctr" rtl="0">
            <a:spcBef>
              <a:spcPts val="0"/>
            </a:spcBef>
            <a:spcAft>
              <a:spcPts val="0"/>
            </a:spcAft>
            <a:buNone/>
          </a:pPr>
          <a:r>
            <a:rPr lang="en-US" sz="1600">
              <a:solidFill>
                <a:srgbClr val="000000"/>
              </a:solidFill>
              <a:latin typeface="Kaushan Script"/>
              <a:ea typeface="Kaushan Script"/>
              <a:cs typeface="Kaushan Script"/>
              <a:sym typeface="Kaushan Script"/>
            </a:rPr>
            <a:t>Predictions</a:t>
          </a:r>
          <a:endParaRPr sz="1400"/>
        </a:p>
      </xdr:txBody>
    </xdr:sp>
    <xdr:clientData fLocksWithSheet="0"/>
  </xdr:oneCellAnchor>
  <xdr:oneCellAnchor>
    <xdr:from>
      <xdr:col>0</xdr:col>
      <xdr:colOff>161925</xdr:colOff>
      <xdr:row>2</xdr:row>
      <xdr:rowOff>38100</xdr:rowOff>
    </xdr:from>
    <xdr:ext cx="3400425" cy="2333625"/>
    <xdr:pic>
      <xdr:nvPicPr>
        <xdr:cNvPr id="2" name="image2.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xdr:col>
      <xdr:colOff>603250</xdr:colOff>
      <xdr:row>20</xdr:row>
      <xdr:rowOff>793751</xdr:rowOff>
    </xdr:from>
    <xdr:ext cx="4032250" cy="3924299"/>
    <xdr:pic>
      <xdr:nvPicPr>
        <xdr:cNvPr id="7" name="image3.png">
          <a:extLst>
            <a:ext uri="{FF2B5EF4-FFF2-40B4-BE49-F238E27FC236}">
              <a16:creationId xmlns:a16="http://schemas.microsoft.com/office/drawing/2014/main" id="{00000000-0008-0000-0000-000007000000}"/>
            </a:ext>
          </a:extLst>
        </xdr:cNvPr>
        <xdr:cNvPicPr preferRelativeResize="0"/>
      </xdr:nvPicPr>
      <xdr:blipFill>
        <a:blip xmlns:r="http://schemas.openxmlformats.org/officeDocument/2006/relationships" r:embed="rId2" cstate="print"/>
        <a:stretch>
          <a:fillRect/>
        </a:stretch>
      </xdr:blipFill>
      <xdr:spPr>
        <a:xfrm>
          <a:off x="3714750" y="5772151"/>
          <a:ext cx="4032250" cy="3924299"/>
        </a:xfrm>
        <a:prstGeom prst="rect">
          <a:avLst/>
        </a:prstGeom>
        <a:noFill/>
      </xdr:spPr>
    </xdr:pic>
    <xdr:clientData fLocksWithSheet="0"/>
  </xdr:oneCellAnchor>
  <xdr:oneCellAnchor>
    <xdr:from>
      <xdr:col>7</xdr:col>
      <xdr:colOff>590550</xdr:colOff>
      <xdr:row>22</xdr:row>
      <xdr:rowOff>85725</xdr:rowOff>
    </xdr:from>
    <xdr:ext cx="1076325" cy="895350"/>
    <xdr:pic>
      <xdr:nvPicPr>
        <xdr:cNvPr id="8" name="image1.png">
          <a:extLst>
            <a:ext uri="{FF2B5EF4-FFF2-40B4-BE49-F238E27FC236}">
              <a16:creationId xmlns:a16="http://schemas.microsoft.com/office/drawing/2014/main" id="{00000000-0008-0000-0000-000008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9</xdr:col>
      <xdr:colOff>174625</xdr:colOff>
      <xdr:row>43</xdr:row>
      <xdr:rowOff>15875</xdr:rowOff>
    </xdr:from>
    <xdr:ext cx="2159000" cy="914400"/>
    <xdr:sp macro="[0]!HelpBtn" textlink="">
      <xdr:nvSpPr>
        <xdr:cNvPr id="10" name="Shape 20">
          <a:extLst>
            <a:ext uri="{FF2B5EF4-FFF2-40B4-BE49-F238E27FC236}">
              <a16:creationId xmlns:a16="http://schemas.microsoft.com/office/drawing/2014/main" id="{C997C659-2977-4E74-8CF5-A45F03FC1326}"/>
            </a:ext>
          </a:extLst>
        </xdr:cNvPr>
        <xdr:cNvSpPr/>
      </xdr:nvSpPr>
      <xdr:spPr>
        <a:xfrm>
          <a:off x="11064875" y="10826750"/>
          <a:ext cx="2159000" cy="914400"/>
        </a:xfrm>
        <a:prstGeom prst="rect">
          <a:avLst/>
        </a:prstGeom>
        <a:solidFill>
          <a:schemeClr val="accent4"/>
        </a:solidFill>
        <a:ln w="12700" cap="flat" cmpd="sng">
          <a:solidFill>
            <a:srgbClr val="42719B"/>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ctr" rtl="0">
            <a:spcBef>
              <a:spcPts val="0"/>
            </a:spcBef>
            <a:spcAft>
              <a:spcPts val="0"/>
            </a:spcAft>
            <a:buNone/>
          </a:pPr>
          <a:r>
            <a:rPr lang="en-US" sz="1600">
              <a:solidFill>
                <a:srgbClr val="000000"/>
              </a:solidFill>
              <a:latin typeface="Kaushan Script"/>
              <a:sym typeface="Kaushan Script"/>
            </a:rPr>
            <a:t>Help</a:t>
          </a:r>
        </a:p>
        <a:p>
          <a:pPr marL="0" lvl="0" indent="0" algn="ctr" rtl="0">
            <a:spcBef>
              <a:spcPts val="0"/>
            </a:spcBef>
            <a:spcAft>
              <a:spcPts val="0"/>
            </a:spcAft>
            <a:buNone/>
          </a:pPr>
          <a:endParaRPr sz="1400"/>
        </a:p>
      </xdr:txBody>
    </xdr:sp>
    <xdr:clientData fLocksWithSheet="0"/>
  </xdr:oneCellAnchor>
</xdr:wsDr>
</file>

<file path=xl/drawings/drawing2.xml><?xml version="1.0" encoding="utf-8"?>
<xdr:wsDr xmlns:xdr="http://schemas.openxmlformats.org/drawingml/2006/spreadsheetDrawing" xmlns:a="http://schemas.openxmlformats.org/drawingml/2006/main">
  <xdr:oneCellAnchor>
    <xdr:from>
      <xdr:col>11</xdr:col>
      <xdr:colOff>57150</xdr:colOff>
      <xdr:row>28</xdr:row>
      <xdr:rowOff>57150</xdr:rowOff>
    </xdr:from>
    <xdr:ext cx="2105025" cy="885825"/>
    <xdr:sp macro="[0]!HomeBtn" textlink="">
      <xdr:nvSpPr>
        <xdr:cNvPr id="7" name="Shape 7">
          <a:extLst>
            <a:ext uri="{FF2B5EF4-FFF2-40B4-BE49-F238E27FC236}">
              <a16:creationId xmlns:a16="http://schemas.microsoft.com/office/drawing/2014/main" id="{00000000-0008-0000-0100-000007000000}"/>
            </a:ext>
          </a:extLst>
        </xdr:cNvPr>
        <xdr:cNvSpPr/>
      </xdr:nvSpPr>
      <xdr:spPr>
        <a:xfrm>
          <a:off x="4298250" y="3341850"/>
          <a:ext cx="2095500" cy="876300"/>
        </a:xfrm>
        <a:prstGeom prst="rect">
          <a:avLst/>
        </a:prstGeom>
        <a:solidFill>
          <a:schemeClr val="accent4"/>
        </a:solidFill>
        <a:ln w="12700" cap="flat" cmpd="sng">
          <a:solidFill>
            <a:srgbClr val="42719B"/>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ctr" rtl="0">
            <a:spcBef>
              <a:spcPts val="0"/>
            </a:spcBef>
            <a:spcAft>
              <a:spcPts val="0"/>
            </a:spcAft>
            <a:buNone/>
          </a:pPr>
          <a:r>
            <a:rPr lang="en-US" sz="1800">
              <a:solidFill>
                <a:srgbClr val="000000"/>
              </a:solidFill>
              <a:latin typeface="Kaushan Script"/>
              <a:ea typeface="Kaushan Script"/>
              <a:cs typeface="Kaushan Script"/>
              <a:sym typeface="Kaushan Script"/>
            </a:rPr>
            <a:t>Home </a:t>
          </a:r>
          <a:endParaRPr sz="1400"/>
        </a:p>
      </xdr:txBody>
    </xdr:sp>
    <xdr:clientData fLocksWithSheet="0"/>
  </xdr:oneCellAnchor>
  <xdr:oneCellAnchor>
    <xdr:from>
      <xdr:col>11</xdr:col>
      <xdr:colOff>19050</xdr:colOff>
      <xdr:row>34</xdr:row>
      <xdr:rowOff>66675</xdr:rowOff>
    </xdr:from>
    <xdr:ext cx="2105025" cy="962025"/>
    <xdr:sp macro="[0]!graphsBtn1" textlink="">
      <xdr:nvSpPr>
        <xdr:cNvPr id="8" name="Shape 8">
          <a:extLst>
            <a:ext uri="{FF2B5EF4-FFF2-40B4-BE49-F238E27FC236}">
              <a16:creationId xmlns:a16="http://schemas.microsoft.com/office/drawing/2014/main" id="{00000000-0008-0000-0100-000008000000}"/>
            </a:ext>
          </a:extLst>
        </xdr:cNvPr>
        <xdr:cNvSpPr/>
      </xdr:nvSpPr>
      <xdr:spPr>
        <a:xfrm>
          <a:off x="4298250" y="3303750"/>
          <a:ext cx="2095500" cy="952500"/>
        </a:xfrm>
        <a:prstGeom prst="rect">
          <a:avLst/>
        </a:prstGeom>
        <a:solidFill>
          <a:schemeClr val="accent4"/>
        </a:solidFill>
        <a:ln w="12700" cap="flat" cmpd="sng">
          <a:solidFill>
            <a:srgbClr val="42719B"/>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ctr" rtl="0">
            <a:spcBef>
              <a:spcPts val="0"/>
            </a:spcBef>
            <a:spcAft>
              <a:spcPts val="0"/>
            </a:spcAft>
            <a:buNone/>
          </a:pPr>
          <a:r>
            <a:rPr lang="en-US" sz="1600">
              <a:solidFill>
                <a:srgbClr val="000000"/>
              </a:solidFill>
              <a:latin typeface="Kaushan Script"/>
              <a:ea typeface="Kaushan Script"/>
              <a:cs typeface="Kaushan Script"/>
              <a:sym typeface="Kaushan Script"/>
            </a:rPr>
            <a:t>Graphs</a:t>
          </a:r>
          <a:endParaRPr sz="1400"/>
        </a:p>
      </xdr:txBody>
    </xdr:sp>
    <xdr:clientData fLocksWithSheet="0"/>
  </xdr:oneCellAnchor>
  <xdr:oneCellAnchor>
    <xdr:from>
      <xdr:col>11</xdr:col>
      <xdr:colOff>38100</xdr:colOff>
      <xdr:row>40</xdr:row>
      <xdr:rowOff>76200</xdr:rowOff>
    </xdr:from>
    <xdr:ext cx="2105025" cy="942975"/>
    <xdr:sp macro="" textlink="">
      <xdr:nvSpPr>
        <xdr:cNvPr id="9" name="Shape 9">
          <a:extLst>
            <a:ext uri="{FF2B5EF4-FFF2-40B4-BE49-F238E27FC236}">
              <a16:creationId xmlns:a16="http://schemas.microsoft.com/office/drawing/2014/main" id="{00000000-0008-0000-0100-000009000000}"/>
            </a:ext>
          </a:extLst>
        </xdr:cNvPr>
        <xdr:cNvSpPr/>
      </xdr:nvSpPr>
      <xdr:spPr>
        <a:xfrm>
          <a:off x="4298250" y="3313275"/>
          <a:ext cx="2095500" cy="933450"/>
        </a:xfrm>
        <a:prstGeom prst="rect">
          <a:avLst/>
        </a:prstGeom>
        <a:solidFill>
          <a:schemeClr val="accent4"/>
        </a:solidFill>
        <a:ln w="12700" cap="flat" cmpd="sng">
          <a:solidFill>
            <a:srgbClr val="42719B"/>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ctr" rtl="0">
            <a:spcBef>
              <a:spcPts val="0"/>
            </a:spcBef>
            <a:spcAft>
              <a:spcPts val="0"/>
            </a:spcAft>
            <a:buNone/>
          </a:pPr>
          <a:r>
            <a:rPr lang="en-US" sz="1600">
              <a:solidFill>
                <a:srgbClr val="000000"/>
              </a:solidFill>
              <a:latin typeface="Kaushan Script"/>
              <a:ea typeface="Kaushan Script"/>
              <a:cs typeface="Kaushan Script"/>
              <a:sym typeface="Kaushan Script"/>
            </a:rPr>
            <a:t>Baseline Data</a:t>
          </a:r>
          <a:endParaRPr sz="1400"/>
        </a:p>
      </xdr:txBody>
    </xdr:sp>
    <xdr:clientData fLocksWithSheet="0"/>
  </xdr:oneCellAnchor>
  <xdr:oneCellAnchor>
    <xdr:from>
      <xdr:col>11</xdr:col>
      <xdr:colOff>28575</xdr:colOff>
      <xdr:row>45</xdr:row>
      <xdr:rowOff>171450</xdr:rowOff>
    </xdr:from>
    <xdr:ext cx="2105025" cy="942975"/>
    <xdr:sp macro="[0]!Predictionsbtn" textlink="">
      <xdr:nvSpPr>
        <xdr:cNvPr id="10" name="Shape 10">
          <a:extLst>
            <a:ext uri="{FF2B5EF4-FFF2-40B4-BE49-F238E27FC236}">
              <a16:creationId xmlns:a16="http://schemas.microsoft.com/office/drawing/2014/main" id="{00000000-0008-0000-0100-00000A000000}"/>
            </a:ext>
          </a:extLst>
        </xdr:cNvPr>
        <xdr:cNvSpPr/>
      </xdr:nvSpPr>
      <xdr:spPr>
        <a:xfrm>
          <a:off x="4298250" y="3318038"/>
          <a:ext cx="2095500" cy="923925"/>
        </a:xfrm>
        <a:prstGeom prst="rect">
          <a:avLst/>
        </a:prstGeom>
        <a:solidFill>
          <a:schemeClr val="accent4"/>
        </a:solidFill>
        <a:ln w="12700" cap="flat" cmpd="sng">
          <a:solidFill>
            <a:srgbClr val="42719B"/>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ctr" rtl="0">
            <a:spcBef>
              <a:spcPts val="0"/>
            </a:spcBef>
            <a:spcAft>
              <a:spcPts val="0"/>
            </a:spcAft>
            <a:buNone/>
          </a:pPr>
          <a:r>
            <a:rPr lang="en-US" sz="1600">
              <a:solidFill>
                <a:srgbClr val="000000"/>
              </a:solidFill>
              <a:latin typeface="Kaushan Script"/>
              <a:ea typeface="Kaushan Script"/>
              <a:cs typeface="Kaushan Script"/>
              <a:sym typeface="Kaushan Script"/>
            </a:rPr>
            <a:t>Predictions</a:t>
          </a:r>
          <a:endParaRPr sz="1400"/>
        </a:p>
      </xdr:txBody>
    </xdr:sp>
    <xdr:clientData fLocksWithSheet="0"/>
  </xdr:oneCellAnchor>
  <xdr:oneCellAnchor>
    <xdr:from>
      <xdr:col>0</xdr:col>
      <xdr:colOff>28575</xdr:colOff>
      <xdr:row>0</xdr:row>
      <xdr:rowOff>104775</xdr:rowOff>
    </xdr:from>
    <xdr:ext cx="2933700" cy="1914525"/>
    <xdr:pic>
      <xdr:nvPicPr>
        <xdr:cNvPr id="2" name="image2.png">
          <a:extLst>
            <a:ext uri="{FF2B5EF4-FFF2-40B4-BE49-F238E27FC236}">
              <a16:creationId xmlns:a16="http://schemas.microsoft.com/office/drawing/2014/main" id="{00000000-0008-0000-01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8</xdr:col>
      <xdr:colOff>981075</xdr:colOff>
      <xdr:row>40</xdr:row>
      <xdr:rowOff>95250</xdr:rowOff>
    </xdr:from>
    <xdr:ext cx="1047750" cy="914400"/>
    <xdr:pic>
      <xdr:nvPicPr>
        <xdr:cNvPr id="3" name="image1.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11</xdr:col>
      <xdr:colOff>40821</xdr:colOff>
      <xdr:row>51</xdr:row>
      <xdr:rowOff>27214</xdr:rowOff>
    </xdr:from>
    <xdr:ext cx="2076450" cy="914400"/>
    <xdr:sp macro="[0]!HelpBtn" textlink="">
      <xdr:nvSpPr>
        <xdr:cNvPr id="11" name="Shape 20">
          <a:extLst>
            <a:ext uri="{FF2B5EF4-FFF2-40B4-BE49-F238E27FC236}">
              <a16:creationId xmlns:a16="http://schemas.microsoft.com/office/drawing/2014/main" id="{9B7B3406-3264-4477-A5C3-4809FB3D1ECD}"/>
            </a:ext>
          </a:extLst>
        </xdr:cNvPr>
        <xdr:cNvSpPr/>
      </xdr:nvSpPr>
      <xdr:spPr>
        <a:xfrm>
          <a:off x="13607142" y="11144250"/>
          <a:ext cx="2076450" cy="914400"/>
        </a:xfrm>
        <a:prstGeom prst="rect">
          <a:avLst/>
        </a:prstGeom>
        <a:solidFill>
          <a:schemeClr val="accent4"/>
        </a:solidFill>
        <a:ln w="12700" cap="flat" cmpd="sng">
          <a:solidFill>
            <a:srgbClr val="42719B"/>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ctr" rtl="0">
            <a:spcBef>
              <a:spcPts val="0"/>
            </a:spcBef>
            <a:spcAft>
              <a:spcPts val="0"/>
            </a:spcAft>
            <a:buNone/>
          </a:pPr>
          <a:r>
            <a:rPr lang="en-US" sz="1600">
              <a:solidFill>
                <a:srgbClr val="000000"/>
              </a:solidFill>
              <a:latin typeface="Kaushan Script"/>
              <a:sym typeface="Kaushan Script"/>
            </a:rPr>
            <a:t>Help</a:t>
          </a:r>
        </a:p>
        <a:p>
          <a:pPr marL="0" lvl="0" indent="0" algn="ctr" rtl="0">
            <a:spcBef>
              <a:spcPts val="0"/>
            </a:spcBef>
            <a:spcAft>
              <a:spcPts val="0"/>
            </a:spcAft>
            <a:buNone/>
          </a:pPr>
          <a:endParaRPr sz="1400"/>
        </a:p>
      </xdr:txBody>
    </xdr:sp>
    <xdr:clientData fLocksWithSheet="0"/>
  </xdr:oneCellAnchor>
</xdr:wsDr>
</file>

<file path=xl/drawings/drawing3.xml><?xml version="1.0" encoding="utf-8"?>
<xdr:wsDr xmlns:xdr="http://schemas.openxmlformats.org/drawingml/2006/spreadsheetDrawing" xmlns:a="http://schemas.openxmlformats.org/drawingml/2006/main">
  <xdr:oneCellAnchor>
    <xdr:from>
      <xdr:col>7</xdr:col>
      <xdr:colOff>504825</xdr:colOff>
      <xdr:row>28</xdr:row>
      <xdr:rowOff>28575</xdr:rowOff>
    </xdr:from>
    <xdr:ext cx="1304925" cy="809625"/>
    <xdr:sp macro="[0]!changbtn" textlink="">
      <xdr:nvSpPr>
        <xdr:cNvPr id="11" name="Shape 11">
          <a:extLst>
            <a:ext uri="{FF2B5EF4-FFF2-40B4-BE49-F238E27FC236}">
              <a16:creationId xmlns:a16="http://schemas.microsoft.com/office/drawing/2014/main" id="{00000000-0008-0000-0200-00000B000000}"/>
            </a:ext>
          </a:extLst>
        </xdr:cNvPr>
        <xdr:cNvSpPr/>
      </xdr:nvSpPr>
      <xdr:spPr>
        <a:xfrm>
          <a:off x="4698300" y="3379950"/>
          <a:ext cx="1295400" cy="800100"/>
        </a:xfrm>
        <a:prstGeom prst="rect">
          <a:avLst/>
        </a:prstGeom>
        <a:solidFill>
          <a:schemeClr val="dk1"/>
        </a:solidFill>
        <a:ln w="12700" cap="flat" cmpd="sng">
          <a:solidFill>
            <a:srgbClr val="42719B"/>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ctr" rtl="0">
            <a:spcBef>
              <a:spcPts val="0"/>
            </a:spcBef>
            <a:spcAft>
              <a:spcPts val="0"/>
            </a:spcAft>
            <a:buNone/>
          </a:pPr>
          <a:r>
            <a:rPr lang="en-US" sz="1400" b="1">
              <a:solidFill>
                <a:schemeClr val="lt1"/>
              </a:solidFill>
              <a:latin typeface="Kaushan Script"/>
              <a:ea typeface="Kaushan Script"/>
              <a:cs typeface="Kaushan Script"/>
              <a:sym typeface="Kaushan Script"/>
            </a:rPr>
            <a:t>Profit margin change</a:t>
          </a:r>
          <a:endParaRPr sz="1400" b="1">
            <a:latin typeface="Kaushan Script"/>
            <a:ea typeface="Kaushan Script"/>
            <a:cs typeface="Kaushan Script"/>
            <a:sym typeface="Kaushan Script"/>
          </a:endParaRPr>
        </a:p>
      </xdr:txBody>
    </xdr:sp>
    <xdr:clientData fLocksWithSheet="0"/>
  </xdr:oneCellAnchor>
  <xdr:oneCellAnchor>
    <xdr:from>
      <xdr:col>7</xdr:col>
      <xdr:colOff>447675</xdr:colOff>
      <xdr:row>33</xdr:row>
      <xdr:rowOff>114300</xdr:rowOff>
    </xdr:from>
    <xdr:ext cx="1409700" cy="790575"/>
    <xdr:sp macro="[0]!resetBtn" textlink="">
      <xdr:nvSpPr>
        <xdr:cNvPr id="12" name="Shape 12">
          <a:extLst>
            <a:ext uri="{FF2B5EF4-FFF2-40B4-BE49-F238E27FC236}">
              <a16:creationId xmlns:a16="http://schemas.microsoft.com/office/drawing/2014/main" id="{00000000-0008-0000-0200-00000C000000}"/>
            </a:ext>
          </a:extLst>
        </xdr:cNvPr>
        <xdr:cNvSpPr/>
      </xdr:nvSpPr>
      <xdr:spPr>
        <a:xfrm>
          <a:off x="11572875" y="7410450"/>
          <a:ext cx="1409700" cy="790575"/>
        </a:xfrm>
        <a:prstGeom prst="rect">
          <a:avLst/>
        </a:prstGeom>
        <a:solidFill>
          <a:schemeClr val="dk1"/>
        </a:solidFill>
        <a:ln w="12700" cap="flat" cmpd="sng">
          <a:solidFill>
            <a:srgbClr val="42719B"/>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ctr" rtl="0">
            <a:spcBef>
              <a:spcPts val="0"/>
            </a:spcBef>
            <a:spcAft>
              <a:spcPts val="0"/>
            </a:spcAft>
            <a:buNone/>
          </a:pPr>
          <a:r>
            <a:rPr lang="en-US" sz="1400" b="1">
              <a:solidFill>
                <a:schemeClr val="lt1"/>
              </a:solidFill>
              <a:latin typeface="Kaushan Script"/>
              <a:ea typeface="Kaushan Script"/>
              <a:cs typeface="Kaushan Script"/>
              <a:sym typeface="Kaushan Script"/>
            </a:rPr>
            <a:t>reset profit margin </a:t>
          </a:r>
          <a:endParaRPr sz="1400"/>
        </a:p>
      </xdr:txBody>
    </xdr:sp>
    <xdr:clientData fLocksWithSheet="0"/>
  </xdr:oneCellAnchor>
  <xdr:oneCellAnchor>
    <xdr:from>
      <xdr:col>15</xdr:col>
      <xdr:colOff>295275</xdr:colOff>
      <xdr:row>38</xdr:row>
      <xdr:rowOff>28575</xdr:rowOff>
    </xdr:from>
    <xdr:ext cx="2076450" cy="923925"/>
    <xdr:sp macro="" textlink="">
      <xdr:nvSpPr>
        <xdr:cNvPr id="13" name="Shape 13">
          <a:extLst>
            <a:ext uri="{FF2B5EF4-FFF2-40B4-BE49-F238E27FC236}">
              <a16:creationId xmlns:a16="http://schemas.microsoft.com/office/drawing/2014/main" id="{00000000-0008-0000-0200-00000D000000}"/>
            </a:ext>
          </a:extLst>
        </xdr:cNvPr>
        <xdr:cNvSpPr/>
      </xdr:nvSpPr>
      <xdr:spPr>
        <a:xfrm>
          <a:off x="4317300" y="3327563"/>
          <a:ext cx="2057400" cy="904875"/>
        </a:xfrm>
        <a:prstGeom prst="rect">
          <a:avLst/>
        </a:prstGeom>
        <a:solidFill>
          <a:schemeClr val="accent4"/>
        </a:solidFill>
        <a:ln w="12700" cap="flat" cmpd="sng">
          <a:solidFill>
            <a:srgbClr val="42719B"/>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ctr" rtl="0">
            <a:spcBef>
              <a:spcPts val="0"/>
            </a:spcBef>
            <a:spcAft>
              <a:spcPts val="0"/>
            </a:spcAft>
            <a:buNone/>
          </a:pPr>
          <a:r>
            <a:rPr lang="en-US" sz="1600">
              <a:solidFill>
                <a:srgbClr val="000000"/>
              </a:solidFill>
              <a:latin typeface="Kaushan Script"/>
              <a:ea typeface="Kaushan Script"/>
              <a:cs typeface="Kaushan Script"/>
              <a:sym typeface="Kaushan Script"/>
            </a:rPr>
            <a:t>Predictions</a:t>
          </a:r>
          <a:endParaRPr sz="1400"/>
        </a:p>
      </xdr:txBody>
    </xdr:sp>
    <xdr:clientData fLocksWithSheet="0"/>
  </xdr:oneCellAnchor>
  <xdr:oneCellAnchor>
    <xdr:from>
      <xdr:col>15</xdr:col>
      <xdr:colOff>295275</xdr:colOff>
      <xdr:row>26</xdr:row>
      <xdr:rowOff>161925</xdr:rowOff>
    </xdr:from>
    <xdr:ext cx="2076450" cy="914400"/>
    <xdr:sp macro="[0]!graphsBtn1" textlink="">
      <xdr:nvSpPr>
        <xdr:cNvPr id="14" name="Shape 14">
          <a:extLst>
            <a:ext uri="{FF2B5EF4-FFF2-40B4-BE49-F238E27FC236}">
              <a16:creationId xmlns:a16="http://schemas.microsoft.com/office/drawing/2014/main" id="{00000000-0008-0000-0200-00000E000000}"/>
            </a:ext>
          </a:extLst>
        </xdr:cNvPr>
        <xdr:cNvSpPr/>
      </xdr:nvSpPr>
      <xdr:spPr>
        <a:xfrm>
          <a:off x="4317300" y="3332325"/>
          <a:ext cx="2057400" cy="895350"/>
        </a:xfrm>
        <a:prstGeom prst="rect">
          <a:avLst/>
        </a:prstGeom>
        <a:solidFill>
          <a:schemeClr val="accent4"/>
        </a:solidFill>
        <a:ln w="12700" cap="flat" cmpd="sng">
          <a:solidFill>
            <a:srgbClr val="42719B"/>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ctr" rtl="0">
            <a:spcBef>
              <a:spcPts val="0"/>
            </a:spcBef>
            <a:spcAft>
              <a:spcPts val="0"/>
            </a:spcAft>
            <a:buNone/>
          </a:pPr>
          <a:r>
            <a:rPr lang="en-US" sz="1600">
              <a:solidFill>
                <a:srgbClr val="000000"/>
              </a:solidFill>
              <a:latin typeface="Kaushan Script"/>
              <a:ea typeface="Kaushan Script"/>
              <a:cs typeface="Kaushan Script"/>
              <a:sym typeface="Kaushan Script"/>
            </a:rPr>
            <a:t>Graphs</a:t>
          </a:r>
          <a:endParaRPr sz="1400"/>
        </a:p>
      </xdr:txBody>
    </xdr:sp>
    <xdr:clientData fLocksWithSheet="0"/>
  </xdr:oneCellAnchor>
  <xdr:oneCellAnchor>
    <xdr:from>
      <xdr:col>15</xdr:col>
      <xdr:colOff>285750</xdr:colOff>
      <xdr:row>32</xdr:row>
      <xdr:rowOff>0</xdr:rowOff>
    </xdr:from>
    <xdr:ext cx="2076450" cy="914400"/>
    <xdr:sp macro="[0]!BaselineBtn" textlink="">
      <xdr:nvSpPr>
        <xdr:cNvPr id="15" name="Shape 15">
          <a:extLst>
            <a:ext uri="{FF2B5EF4-FFF2-40B4-BE49-F238E27FC236}">
              <a16:creationId xmlns:a16="http://schemas.microsoft.com/office/drawing/2014/main" id="{00000000-0008-0000-0200-00000F000000}"/>
            </a:ext>
          </a:extLst>
        </xdr:cNvPr>
        <xdr:cNvSpPr/>
      </xdr:nvSpPr>
      <xdr:spPr>
        <a:xfrm>
          <a:off x="4317300" y="3327563"/>
          <a:ext cx="2057400" cy="904875"/>
        </a:xfrm>
        <a:prstGeom prst="rect">
          <a:avLst/>
        </a:prstGeom>
        <a:solidFill>
          <a:schemeClr val="accent4"/>
        </a:solidFill>
        <a:ln w="12700" cap="flat" cmpd="sng">
          <a:solidFill>
            <a:srgbClr val="42719B"/>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ctr" rtl="0">
            <a:spcBef>
              <a:spcPts val="0"/>
            </a:spcBef>
            <a:spcAft>
              <a:spcPts val="0"/>
            </a:spcAft>
            <a:buNone/>
          </a:pPr>
          <a:r>
            <a:rPr lang="en-US" sz="1600">
              <a:solidFill>
                <a:srgbClr val="000000"/>
              </a:solidFill>
              <a:latin typeface="Kaushan Script"/>
              <a:ea typeface="Kaushan Script"/>
              <a:cs typeface="Kaushan Script"/>
              <a:sym typeface="Kaushan Script"/>
            </a:rPr>
            <a:t>Baseline Data</a:t>
          </a:r>
          <a:endParaRPr sz="1400"/>
        </a:p>
      </xdr:txBody>
    </xdr:sp>
    <xdr:clientData fLocksWithSheet="0"/>
  </xdr:oneCellAnchor>
  <xdr:oneCellAnchor>
    <xdr:from>
      <xdr:col>15</xdr:col>
      <xdr:colOff>295275</xdr:colOff>
      <xdr:row>21</xdr:row>
      <xdr:rowOff>66675</xdr:rowOff>
    </xdr:from>
    <xdr:ext cx="2076450" cy="942975"/>
    <xdr:sp macro="[0]!HomeBtn" textlink="">
      <xdr:nvSpPr>
        <xdr:cNvPr id="16" name="Shape 16">
          <a:extLst>
            <a:ext uri="{FF2B5EF4-FFF2-40B4-BE49-F238E27FC236}">
              <a16:creationId xmlns:a16="http://schemas.microsoft.com/office/drawing/2014/main" id="{00000000-0008-0000-0200-000010000000}"/>
            </a:ext>
          </a:extLst>
        </xdr:cNvPr>
        <xdr:cNvSpPr/>
      </xdr:nvSpPr>
      <xdr:spPr>
        <a:xfrm>
          <a:off x="4317300" y="3313275"/>
          <a:ext cx="2057400" cy="933450"/>
        </a:xfrm>
        <a:prstGeom prst="rect">
          <a:avLst/>
        </a:prstGeom>
        <a:solidFill>
          <a:schemeClr val="accent4"/>
        </a:solidFill>
        <a:ln w="12700" cap="flat" cmpd="sng">
          <a:solidFill>
            <a:srgbClr val="42719B"/>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ctr" rtl="0">
            <a:spcBef>
              <a:spcPts val="0"/>
            </a:spcBef>
            <a:spcAft>
              <a:spcPts val="0"/>
            </a:spcAft>
            <a:buNone/>
          </a:pPr>
          <a:r>
            <a:rPr lang="en-US" sz="1800">
              <a:solidFill>
                <a:srgbClr val="000000"/>
              </a:solidFill>
              <a:latin typeface="Kaushan Script"/>
              <a:ea typeface="Kaushan Script"/>
              <a:cs typeface="Kaushan Script"/>
              <a:sym typeface="Kaushan Script"/>
            </a:rPr>
            <a:t>Home </a:t>
          </a:r>
          <a:endParaRPr sz="1400"/>
        </a:p>
      </xdr:txBody>
    </xdr:sp>
    <xdr:clientData fLocksWithSheet="0"/>
  </xdr:oneCellAnchor>
  <xdr:oneCellAnchor>
    <xdr:from>
      <xdr:col>0</xdr:col>
      <xdr:colOff>28575</xdr:colOff>
      <xdr:row>0</xdr:row>
      <xdr:rowOff>104775</xdr:rowOff>
    </xdr:from>
    <xdr:ext cx="3009900" cy="2047875"/>
    <xdr:pic>
      <xdr:nvPicPr>
        <xdr:cNvPr id="2" name="image2.png">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13</xdr:col>
      <xdr:colOff>209550</xdr:colOff>
      <xdr:row>38</xdr:row>
      <xdr:rowOff>19050</xdr:rowOff>
    </xdr:from>
    <xdr:ext cx="1066800" cy="895350"/>
    <xdr:pic>
      <xdr:nvPicPr>
        <xdr:cNvPr id="3" name="image1.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15</xdr:col>
      <xdr:colOff>312965</xdr:colOff>
      <xdr:row>43</xdr:row>
      <xdr:rowOff>122464</xdr:rowOff>
    </xdr:from>
    <xdr:ext cx="2076450" cy="914400"/>
    <xdr:sp macro="[0]!HelpBtn" textlink="">
      <xdr:nvSpPr>
        <xdr:cNvPr id="10" name="Shape 20">
          <a:extLst>
            <a:ext uri="{FF2B5EF4-FFF2-40B4-BE49-F238E27FC236}">
              <a16:creationId xmlns:a16="http://schemas.microsoft.com/office/drawing/2014/main" id="{709870F8-6C9A-4742-8F26-8C527898ACD9}"/>
            </a:ext>
          </a:extLst>
        </xdr:cNvPr>
        <xdr:cNvSpPr/>
      </xdr:nvSpPr>
      <xdr:spPr>
        <a:xfrm>
          <a:off x="19022786" y="9511393"/>
          <a:ext cx="2076450" cy="914400"/>
        </a:xfrm>
        <a:prstGeom prst="rect">
          <a:avLst/>
        </a:prstGeom>
        <a:solidFill>
          <a:schemeClr val="accent4"/>
        </a:solidFill>
        <a:ln w="12700" cap="flat" cmpd="sng">
          <a:solidFill>
            <a:srgbClr val="42719B"/>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ctr" rtl="0">
            <a:spcBef>
              <a:spcPts val="0"/>
            </a:spcBef>
            <a:spcAft>
              <a:spcPts val="0"/>
            </a:spcAft>
            <a:buNone/>
          </a:pPr>
          <a:r>
            <a:rPr lang="en-US" sz="1600">
              <a:solidFill>
                <a:srgbClr val="000000"/>
              </a:solidFill>
              <a:latin typeface="Kaushan Script"/>
              <a:sym typeface="Kaushan Script"/>
            </a:rPr>
            <a:t>Help</a:t>
          </a:r>
        </a:p>
        <a:p>
          <a:pPr marL="0" lvl="0" indent="0" algn="ctr" rtl="0">
            <a:spcBef>
              <a:spcPts val="0"/>
            </a:spcBef>
            <a:spcAft>
              <a:spcPts val="0"/>
            </a:spcAft>
            <a:buNone/>
          </a:pPr>
          <a:endParaRPr sz="1400"/>
        </a:p>
      </xdr:txBody>
    </xdr:sp>
    <xdr:clientData fLocksWithSheet="0"/>
  </xdr:oneCellAnchor>
  <xdr:oneCellAnchor>
    <xdr:from>
      <xdr:col>8</xdr:col>
      <xdr:colOff>1006928</xdr:colOff>
      <xdr:row>30</xdr:row>
      <xdr:rowOff>149679</xdr:rowOff>
    </xdr:from>
    <xdr:ext cx="1409700" cy="790575"/>
    <xdr:sp macro="[0]!resetER" textlink="">
      <xdr:nvSpPr>
        <xdr:cNvPr id="18" name="Shape 12">
          <a:extLst>
            <a:ext uri="{FF2B5EF4-FFF2-40B4-BE49-F238E27FC236}">
              <a16:creationId xmlns:a16="http://schemas.microsoft.com/office/drawing/2014/main" id="{F4933032-A754-4653-B709-C97D71D36246}"/>
            </a:ext>
          </a:extLst>
        </xdr:cNvPr>
        <xdr:cNvSpPr/>
      </xdr:nvSpPr>
      <xdr:spPr>
        <a:xfrm>
          <a:off x="13253357" y="6885215"/>
          <a:ext cx="1409700" cy="790575"/>
        </a:xfrm>
        <a:prstGeom prst="rect">
          <a:avLst/>
        </a:prstGeom>
        <a:solidFill>
          <a:schemeClr val="dk1"/>
        </a:solidFill>
        <a:ln w="12700" cap="flat" cmpd="sng">
          <a:solidFill>
            <a:srgbClr val="42719B"/>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ctr" rtl="0">
            <a:spcBef>
              <a:spcPts val="0"/>
            </a:spcBef>
            <a:spcAft>
              <a:spcPts val="0"/>
            </a:spcAft>
            <a:buNone/>
          </a:pPr>
          <a:r>
            <a:rPr lang="en-US" sz="1400" b="1">
              <a:solidFill>
                <a:schemeClr val="lt1"/>
              </a:solidFill>
              <a:latin typeface="Kaushan Script"/>
              <a:ea typeface="Kaushan Script"/>
              <a:cs typeface="Kaushan Script"/>
              <a:sym typeface="Kaushan Script"/>
            </a:rPr>
            <a:t>reset exchange</a:t>
          </a:r>
          <a:r>
            <a:rPr lang="en-US" sz="1400" b="1" baseline="0">
              <a:solidFill>
                <a:schemeClr val="lt1"/>
              </a:solidFill>
              <a:latin typeface="Kaushan Script"/>
              <a:ea typeface="Kaushan Script"/>
              <a:cs typeface="Kaushan Script"/>
              <a:sym typeface="Kaushan Script"/>
            </a:rPr>
            <a:t> rate </a:t>
          </a:r>
          <a:r>
            <a:rPr lang="en-US" sz="1400" b="1">
              <a:solidFill>
                <a:schemeClr val="lt1"/>
              </a:solidFill>
              <a:latin typeface="Kaushan Script"/>
              <a:ea typeface="Kaushan Script"/>
              <a:cs typeface="Kaushan Script"/>
              <a:sym typeface="Kaushan Script"/>
            </a:rPr>
            <a:t> </a:t>
          </a:r>
          <a:endParaRPr sz="1400"/>
        </a:p>
      </xdr:txBody>
    </xdr:sp>
    <xdr:clientData fLocksWithSheet="0"/>
  </xdr:oneCellAnchor>
</xdr:wsDr>
</file>

<file path=xl/drawings/drawing4.xml><?xml version="1.0" encoding="utf-8"?>
<xdr:wsDr xmlns:xdr="http://schemas.openxmlformats.org/drawingml/2006/spreadsheetDrawing" xmlns:a="http://schemas.openxmlformats.org/drawingml/2006/main">
  <xdr:oneCellAnchor>
    <xdr:from>
      <xdr:col>15</xdr:col>
      <xdr:colOff>295275</xdr:colOff>
      <xdr:row>38</xdr:row>
      <xdr:rowOff>28575</xdr:rowOff>
    </xdr:from>
    <xdr:ext cx="2076450" cy="923925"/>
    <xdr:sp macro="[0]!Predictionsbtn" textlink="">
      <xdr:nvSpPr>
        <xdr:cNvPr id="19" name="Shape 19">
          <a:extLst>
            <a:ext uri="{FF2B5EF4-FFF2-40B4-BE49-F238E27FC236}">
              <a16:creationId xmlns:a16="http://schemas.microsoft.com/office/drawing/2014/main" id="{00000000-0008-0000-0300-000013000000}"/>
            </a:ext>
          </a:extLst>
        </xdr:cNvPr>
        <xdr:cNvSpPr/>
      </xdr:nvSpPr>
      <xdr:spPr>
        <a:xfrm>
          <a:off x="4317300" y="3327563"/>
          <a:ext cx="2057400" cy="904875"/>
        </a:xfrm>
        <a:prstGeom prst="rect">
          <a:avLst/>
        </a:prstGeom>
        <a:solidFill>
          <a:schemeClr val="accent4"/>
        </a:solidFill>
        <a:ln w="12700" cap="flat" cmpd="sng">
          <a:solidFill>
            <a:srgbClr val="42719B"/>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ctr" rtl="0">
            <a:spcBef>
              <a:spcPts val="0"/>
            </a:spcBef>
            <a:spcAft>
              <a:spcPts val="0"/>
            </a:spcAft>
            <a:buNone/>
          </a:pPr>
          <a:r>
            <a:rPr lang="en-US" sz="1600">
              <a:solidFill>
                <a:srgbClr val="000000"/>
              </a:solidFill>
              <a:latin typeface="Kaushan Script"/>
              <a:ea typeface="Kaushan Script"/>
              <a:cs typeface="Kaushan Script"/>
              <a:sym typeface="Kaushan Script"/>
            </a:rPr>
            <a:t>Predictions</a:t>
          </a:r>
          <a:endParaRPr sz="1400"/>
        </a:p>
      </xdr:txBody>
    </xdr:sp>
    <xdr:clientData fLocksWithSheet="0"/>
  </xdr:oneCellAnchor>
  <xdr:oneCellAnchor>
    <xdr:from>
      <xdr:col>15</xdr:col>
      <xdr:colOff>295275</xdr:colOff>
      <xdr:row>26</xdr:row>
      <xdr:rowOff>161925</xdr:rowOff>
    </xdr:from>
    <xdr:ext cx="2076450" cy="914400"/>
    <xdr:sp macro="" textlink="">
      <xdr:nvSpPr>
        <xdr:cNvPr id="20" name="Shape 20">
          <a:extLst>
            <a:ext uri="{FF2B5EF4-FFF2-40B4-BE49-F238E27FC236}">
              <a16:creationId xmlns:a16="http://schemas.microsoft.com/office/drawing/2014/main" id="{00000000-0008-0000-0300-000014000000}"/>
            </a:ext>
          </a:extLst>
        </xdr:cNvPr>
        <xdr:cNvSpPr/>
      </xdr:nvSpPr>
      <xdr:spPr>
        <a:xfrm>
          <a:off x="4317300" y="3332325"/>
          <a:ext cx="2057400" cy="895350"/>
        </a:xfrm>
        <a:prstGeom prst="rect">
          <a:avLst/>
        </a:prstGeom>
        <a:solidFill>
          <a:schemeClr val="accent4"/>
        </a:solidFill>
        <a:ln w="12700" cap="flat" cmpd="sng">
          <a:solidFill>
            <a:srgbClr val="42719B"/>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ctr" rtl="0">
            <a:spcBef>
              <a:spcPts val="0"/>
            </a:spcBef>
            <a:spcAft>
              <a:spcPts val="0"/>
            </a:spcAft>
            <a:buNone/>
          </a:pPr>
          <a:r>
            <a:rPr lang="en-US" sz="1600">
              <a:solidFill>
                <a:srgbClr val="000000"/>
              </a:solidFill>
              <a:latin typeface="Kaushan Script"/>
              <a:ea typeface="Kaushan Script"/>
              <a:cs typeface="Kaushan Script"/>
              <a:sym typeface="Kaushan Script"/>
            </a:rPr>
            <a:t>Graphs</a:t>
          </a:r>
          <a:endParaRPr sz="1400"/>
        </a:p>
      </xdr:txBody>
    </xdr:sp>
    <xdr:clientData fLocksWithSheet="0"/>
  </xdr:oneCellAnchor>
  <xdr:oneCellAnchor>
    <xdr:from>
      <xdr:col>15</xdr:col>
      <xdr:colOff>285750</xdr:colOff>
      <xdr:row>32</xdr:row>
      <xdr:rowOff>0</xdr:rowOff>
    </xdr:from>
    <xdr:ext cx="2076450" cy="914400"/>
    <xdr:sp macro="[0]!BaselineBtn" textlink="">
      <xdr:nvSpPr>
        <xdr:cNvPr id="21" name="Shape 21">
          <a:extLst>
            <a:ext uri="{FF2B5EF4-FFF2-40B4-BE49-F238E27FC236}">
              <a16:creationId xmlns:a16="http://schemas.microsoft.com/office/drawing/2014/main" id="{00000000-0008-0000-0300-000015000000}"/>
            </a:ext>
          </a:extLst>
        </xdr:cNvPr>
        <xdr:cNvSpPr/>
      </xdr:nvSpPr>
      <xdr:spPr>
        <a:xfrm>
          <a:off x="4317300" y="3327563"/>
          <a:ext cx="2057400" cy="904875"/>
        </a:xfrm>
        <a:prstGeom prst="rect">
          <a:avLst/>
        </a:prstGeom>
        <a:solidFill>
          <a:schemeClr val="accent4"/>
        </a:solidFill>
        <a:ln w="12700" cap="flat" cmpd="sng">
          <a:solidFill>
            <a:srgbClr val="42719B"/>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ctr" rtl="0">
            <a:spcBef>
              <a:spcPts val="0"/>
            </a:spcBef>
            <a:spcAft>
              <a:spcPts val="0"/>
            </a:spcAft>
            <a:buNone/>
          </a:pPr>
          <a:r>
            <a:rPr lang="en-US" sz="1600">
              <a:solidFill>
                <a:srgbClr val="000000"/>
              </a:solidFill>
              <a:latin typeface="Kaushan Script"/>
              <a:ea typeface="Kaushan Script"/>
              <a:cs typeface="Kaushan Script"/>
              <a:sym typeface="Kaushan Script"/>
            </a:rPr>
            <a:t>Baseline Data</a:t>
          </a:r>
          <a:endParaRPr sz="1400"/>
        </a:p>
      </xdr:txBody>
    </xdr:sp>
    <xdr:clientData fLocksWithSheet="0"/>
  </xdr:oneCellAnchor>
  <xdr:oneCellAnchor>
    <xdr:from>
      <xdr:col>15</xdr:col>
      <xdr:colOff>288925</xdr:colOff>
      <xdr:row>21</xdr:row>
      <xdr:rowOff>73025</xdr:rowOff>
    </xdr:from>
    <xdr:ext cx="2076450" cy="942975"/>
    <xdr:sp macro="[0]!HomeBtn" textlink="">
      <xdr:nvSpPr>
        <xdr:cNvPr id="22" name="Shape 22">
          <a:extLst>
            <a:ext uri="{FF2B5EF4-FFF2-40B4-BE49-F238E27FC236}">
              <a16:creationId xmlns:a16="http://schemas.microsoft.com/office/drawing/2014/main" id="{00000000-0008-0000-0300-000016000000}"/>
            </a:ext>
          </a:extLst>
        </xdr:cNvPr>
        <xdr:cNvSpPr/>
      </xdr:nvSpPr>
      <xdr:spPr>
        <a:xfrm>
          <a:off x="19859625" y="4860925"/>
          <a:ext cx="2076450" cy="942975"/>
        </a:xfrm>
        <a:prstGeom prst="rect">
          <a:avLst/>
        </a:prstGeom>
        <a:solidFill>
          <a:schemeClr val="accent4"/>
        </a:solidFill>
        <a:ln w="12700" cap="flat" cmpd="sng">
          <a:solidFill>
            <a:srgbClr val="42719B"/>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ctr" rtl="0">
            <a:spcBef>
              <a:spcPts val="0"/>
            </a:spcBef>
            <a:spcAft>
              <a:spcPts val="0"/>
            </a:spcAft>
            <a:buNone/>
          </a:pPr>
          <a:r>
            <a:rPr lang="en-US" sz="1800">
              <a:solidFill>
                <a:srgbClr val="000000"/>
              </a:solidFill>
              <a:latin typeface="Kaushan Script"/>
              <a:ea typeface="Kaushan Script"/>
              <a:cs typeface="Kaushan Script"/>
              <a:sym typeface="Kaushan Script"/>
            </a:rPr>
            <a:t>Home </a:t>
          </a:r>
          <a:endParaRPr sz="1400"/>
        </a:p>
      </xdr:txBody>
    </xdr:sp>
    <xdr:clientData fLocksWithSheet="0"/>
  </xdr:oneCellAnchor>
  <xdr:oneCellAnchor>
    <xdr:from>
      <xdr:col>0</xdr:col>
      <xdr:colOff>28575</xdr:colOff>
      <xdr:row>0</xdr:row>
      <xdr:rowOff>104775</xdr:rowOff>
    </xdr:from>
    <xdr:ext cx="3009900" cy="2047875"/>
    <xdr:pic>
      <xdr:nvPicPr>
        <xdr:cNvPr id="4" name="image2.png">
          <a:extLst>
            <a:ext uri="{FF2B5EF4-FFF2-40B4-BE49-F238E27FC236}">
              <a16:creationId xmlns:a16="http://schemas.microsoft.com/office/drawing/2014/main" id="{00000000-0008-0000-0300-000004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13</xdr:col>
      <xdr:colOff>495300</xdr:colOff>
      <xdr:row>26</xdr:row>
      <xdr:rowOff>180975</xdr:rowOff>
    </xdr:from>
    <xdr:ext cx="1047750" cy="857250"/>
    <xdr:pic>
      <xdr:nvPicPr>
        <xdr:cNvPr id="5" name="image1.png">
          <a:extLst>
            <a:ext uri="{FF2B5EF4-FFF2-40B4-BE49-F238E27FC236}">
              <a16:creationId xmlns:a16="http://schemas.microsoft.com/office/drawing/2014/main" id="{00000000-0008-0000-0300-000005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twoCellAnchor>
    <xdr:from>
      <xdr:col>0</xdr:col>
      <xdr:colOff>1073603</xdr:colOff>
      <xdr:row>33</xdr:row>
      <xdr:rowOff>149679</xdr:rowOff>
    </xdr:from>
    <xdr:to>
      <xdr:col>3</xdr:col>
      <xdr:colOff>1319891</xdr:colOff>
      <xdr:row>48</xdr:row>
      <xdr:rowOff>104094</xdr:rowOff>
    </xdr:to>
    <xdr:graphicFrame macro="">
      <xdr:nvGraphicFramePr>
        <xdr:cNvPr id="7" name="Chart 6">
          <a:extLst>
            <a:ext uri="{FF2B5EF4-FFF2-40B4-BE49-F238E27FC236}">
              <a16:creationId xmlns:a16="http://schemas.microsoft.com/office/drawing/2014/main" id="{EF346AC4-443D-9ED6-BCB4-17B452546E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47622</xdr:colOff>
      <xdr:row>33</xdr:row>
      <xdr:rowOff>179614</xdr:rowOff>
    </xdr:from>
    <xdr:to>
      <xdr:col>8</xdr:col>
      <xdr:colOff>394607</xdr:colOff>
      <xdr:row>49</xdr:row>
      <xdr:rowOff>136071</xdr:rowOff>
    </xdr:to>
    <xdr:graphicFrame macro="">
      <xdr:nvGraphicFramePr>
        <xdr:cNvPr id="8" name="Chart 7">
          <a:extLst>
            <a:ext uri="{FF2B5EF4-FFF2-40B4-BE49-F238E27FC236}">
              <a16:creationId xmlns:a16="http://schemas.microsoft.com/office/drawing/2014/main" id="{799A7DAA-2D3C-E71A-CB1C-BF229CF87A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15</xdr:col>
      <xdr:colOff>317500</xdr:colOff>
      <xdr:row>43</xdr:row>
      <xdr:rowOff>190500</xdr:rowOff>
    </xdr:from>
    <xdr:ext cx="2076450" cy="914400"/>
    <xdr:sp macro="[0]!HelpBtn" textlink="">
      <xdr:nvSpPr>
        <xdr:cNvPr id="10" name="Shape 20">
          <a:extLst>
            <a:ext uri="{FF2B5EF4-FFF2-40B4-BE49-F238E27FC236}">
              <a16:creationId xmlns:a16="http://schemas.microsoft.com/office/drawing/2014/main" id="{671279D6-A56E-4D67-9F01-2CD0578C7EC1}"/>
            </a:ext>
          </a:extLst>
        </xdr:cNvPr>
        <xdr:cNvSpPr/>
      </xdr:nvSpPr>
      <xdr:spPr>
        <a:xfrm>
          <a:off x="19970750" y="9620250"/>
          <a:ext cx="2076450" cy="914400"/>
        </a:xfrm>
        <a:prstGeom prst="rect">
          <a:avLst/>
        </a:prstGeom>
        <a:solidFill>
          <a:schemeClr val="accent4"/>
        </a:solidFill>
        <a:ln w="12700" cap="flat" cmpd="sng">
          <a:solidFill>
            <a:srgbClr val="42719B"/>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ctr" rtl="0">
            <a:spcBef>
              <a:spcPts val="0"/>
            </a:spcBef>
            <a:spcAft>
              <a:spcPts val="0"/>
            </a:spcAft>
            <a:buNone/>
          </a:pPr>
          <a:r>
            <a:rPr lang="en-US" sz="1600">
              <a:solidFill>
                <a:srgbClr val="000000"/>
              </a:solidFill>
              <a:latin typeface="Kaushan Script"/>
              <a:sym typeface="Kaushan Script"/>
            </a:rPr>
            <a:t>Help</a:t>
          </a:r>
        </a:p>
        <a:p>
          <a:pPr marL="0" lvl="0" indent="0" algn="ctr" rtl="0">
            <a:spcBef>
              <a:spcPts val="0"/>
            </a:spcBef>
            <a:spcAft>
              <a:spcPts val="0"/>
            </a:spcAft>
            <a:buNone/>
          </a:pPr>
          <a:endParaRPr sz="1400"/>
        </a:p>
      </xdr:txBody>
    </xdr:sp>
    <xdr:clientData fLocksWithSheet="0"/>
  </xdr:oneCellAnchor>
</xdr:wsDr>
</file>

<file path=xl/drawings/drawing5.xml><?xml version="1.0" encoding="utf-8"?>
<xdr:wsDr xmlns:xdr="http://schemas.openxmlformats.org/drawingml/2006/spreadsheetDrawing" xmlns:a="http://schemas.openxmlformats.org/drawingml/2006/main">
  <xdr:oneCellAnchor>
    <xdr:from>
      <xdr:col>15</xdr:col>
      <xdr:colOff>295275</xdr:colOff>
      <xdr:row>38</xdr:row>
      <xdr:rowOff>28575</xdr:rowOff>
    </xdr:from>
    <xdr:ext cx="2076450" cy="923925"/>
    <xdr:sp macro="[0]!Predictionsbtn" textlink="">
      <xdr:nvSpPr>
        <xdr:cNvPr id="2" name="Shape 19">
          <a:extLst>
            <a:ext uri="{FF2B5EF4-FFF2-40B4-BE49-F238E27FC236}">
              <a16:creationId xmlns:a16="http://schemas.microsoft.com/office/drawing/2014/main" id="{E9882D29-2CDD-482D-ABA2-8FF033582188}"/>
            </a:ext>
          </a:extLst>
        </xdr:cNvPr>
        <xdr:cNvSpPr/>
      </xdr:nvSpPr>
      <xdr:spPr>
        <a:xfrm>
          <a:off x="19935825" y="8324850"/>
          <a:ext cx="2076450" cy="923925"/>
        </a:xfrm>
        <a:prstGeom prst="rect">
          <a:avLst/>
        </a:prstGeom>
        <a:solidFill>
          <a:schemeClr val="accent4"/>
        </a:solidFill>
        <a:ln w="12700" cap="flat" cmpd="sng">
          <a:solidFill>
            <a:srgbClr val="42719B"/>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ctr" rtl="0">
            <a:spcBef>
              <a:spcPts val="0"/>
            </a:spcBef>
            <a:spcAft>
              <a:spcPts val="0"/>
            </a:spcAft>
            <a:buNone/>
          </a:pPr>
          <a:r>
            <a:rPr lang="en-US" sz="1600">
              <a:solidFill>
                <a:srgbClr val="000000"/>
              </a:solidFill>
              <a:latin typeface="Kaushan Script"/>
              <a:ea typeface="Kaushan Script"/>
              <a:cs typeface="Kaushan Script"/>
              <a:sym typeface="Kaushan Script"/>
            </a:rPr>
            <a:t>Predictions</a:t>
          </a:r>
          <a:endParaRPr sz="1400"/>
        </a:p>
      </xdr:txBody>
    </xdr:sp>
    <xdr:clientData fLocksWithSheet="0"/>
  </xdr:oneCellAnchor>
  <xdr:oneCellAnchor>
    <xdr:from>
      <xdr:col>15</xdr:col>
      <xdr:colOff>295275</xdr:colOff>
      <xdr:row>26</xdr:row>
      <xdr:rowOff>161925</xdr:rowOff>
    </xdr:from>
    <xdr:ext cx="2076450" cy="914400"/>
    <xdr:sp macro="[0]!graphsBtn1" textlink="">
      <xdr:nvSpPr>
        <xdr:cNvPr id="3" name="Shape 20">
          <a:extLst>
            <a:ext uri="{FF2B5EF4-FFF2-40B4-BE49-F238E27FC236}">
              <a16:creationId xmlns:a16="http://schemas.microsoft.com/office/drawing/2014/main" id="{2181CA63-3B10-4655-BCA1-4D7DC10FD75D}"/>
            </a:ext>
          </a:extLst>
        </xdr:cNvPr>
        <xdr:cNvSpPr/>
      </xdr:nvSpPr>
      <xdr:spPr>
        <a:xfrm>
          <a:off x="19935825" y="6057900"/>
          <a:ext cx="2076450" cy="914400"/>
        </a:xfrm>
        <a:prstGeom prst="rect">
          <a:avLst/>
        </a:prstGeom>
        <a:solidFill>
          <a:schemeClr val="accent4"/>
        </a:solidFill>
        <a:ln w="12700" cap="flat" cmpd="sng">
          <a:solidFill>
            <a:srgbClr val="42719B"/>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ctr" rtl="0">
            <a:spcBef>
              <a:spcPts val="0"/>
            </a:spcBef>
            <a:spcAft>
              <a:spcPts val="0"/>
            </a:spcAft>
            <a:buNone/>
          </a:pPr>
          <a:r>
            <a:rPr lang="en-US" sz="1600">
              <a:solidFill>
                <a:srgbClr val="000000"/>
              </a:solidFill>
              <a:latin typeface="Kaushan Script"/>
              <a:ea typeface="Kaushan Script"/>
              <a:cs typeface="Kaushan Script"/>
              <a:sym typeface="Kaushan Script"/>
            </a:rPr>
            <a:t>Graphs</a:t>
          </a:r>
          <a:endParaRPr sz="1400"/>
        </a:p>
      </xdr:txBody>
    </xdr:sp>
    <xdr:clientData fLocksWithSheet="0"/>
  </xdr:oneCellAnchor>
  <xdr:oneCellAnchor>
    <xdr:from>
      <xdr:col>15</xdr:col>
      <xdr:colOff>285750</xdr:colOff>
      <xdr:row>32</xdr:row>
      <xdr:rowOff>0</xdr:rowOff>
    </xdr:from>
    <xdr:ext cx="2076450" cy="914400"/>
    <xdr:sp macro="[0]!BaselineBtn" textlink="">
      <xdr:nvSpPr>
        <xdr:cNvPr id="4" name="Shape 21">
          <a:extLst>
            <a:ext uri="{FF2B5EF4-FFF2-40B4-BE49-F238E27FC236}">
              <a16:creationId xmlns:a16="http://schemas.microsoft.com/office/drawing/2014/main" id="{428C069D-B88E-41E5-B6C9-659FA7F9570C}"/>
            </a:ext>
          </a:extLst>
        </xdr:cNvPr>
        <xdr:cNvSpPr/>
      </xdr:nvSpPr>
      <xdr:spPr>
        <a:xfrm>
          <a:off x="19926300" y="7096125"/>
          <a:ext cx="2076450" cy="914400"/>
        </a:xfrm>
        <a:prstGeom prst="rect">
          <a:avLst/>
        </a:prstGeom>
        <a:solidFill>
          <a:schemeClr val="accent4"/>
        </a:solidFill>
        <a:ln w="12700" cap="flat" cmpd="sng">
          <a:solidFill>
            <a:srgbClr val="42719B"/>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ctr" rtl="0">
            <a:spcBef>
              <a:spcPts val="0"/>
            </a:spcBef>
            <a:spcAft>
              <a:spcPts val="0"/>
            </a:spcAft>
            <a:buNone/>
          </a:pPr>
          <a:r>
            <a:rPr lang="en-US" sz="1600">
              <a:solidFill>
                <a:srgbClr val="000000"/>
              </a:solidFill>
              <a:latin typeface="Kaushan Script"/>
              <a:ea typeface="Kaushan Script"/>
              <a:cs typeface="Kaushan Script"/>
              <a:sym typeface="Kaushan Script"/>
            </a:rPr>
            <a:t>Baseline Data</a:t>
          </a:r>
          <a:endParaRPr sz="1400"/>
        </a:p>
      </xdr:txBody>
    </xdr:sp>
    <xdr:clientData fLocksWithSheet="0"/>
  </xdr:oneCellAnchor>
  <xdr:oneCellAnchor>
    <xdr:from>
      <xdr:col>15</xdr:col>
      <xdr:colOff>288925</xdr:colOff>
      <xdr:row>21</xdr:row>
      <xdr:rowOff>73025</xdr:rowOff>
    </xdr:from>
    <xdr:ext cx="2076450" cy="942975"/>
    <xdr:sp macro="[0]!HomeBtn" textlink="">
      <xdr:nvSpPr>
        <xdr:cNvPr id="5" name="Shape 22">
          <a:extLst>
            <a:ext uri="{FF2B5EF4-FFF2-40B4-BE49-F238E27FC236}">
              <a16:creationId xmlns:a16="http://schemas.microsoft.com/office/drawing/2014/main" id="{A6AED139-279A-4992-818C-0063DBD8A9AD}"/>
            </a:ext>
          </a:extLst>
        </xdr:cNvPr>
        <xdr:cNvSpPr/>
      </xdr:nvSpPr>
      <xdr:spPr>
        <a:xfrm>
          <a:off x="19929475" y="4968875"/>
          <a:ext cx="2076450" cy="942975"/>
        </a:xfrm>
        <a:prstGeom prst="rect">
          <a:avLst/>
        </a:prstGeom>
        <a:solidFill>
          <a:schemeClr val="accent4"/>
        </a:solidFill>
        <a:ln w="12700" cap="flat" cmpd="sng">
          <a:solidFill>
            <a:srgbClr val="42719B"/>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ctr" rtl="0">
            <a:spcBef>
              <a:spcPts val="0"/>
            </a:spcBef>
            <a:spcAft>
              <a:spcPts val="0"/>
            </a:spcAft>
            <a:buNone/>
          </a:pPr>
          <a:r>
            <a:rPr lang="en-US" sz="1800">
              <a:solidFill>
                <a:srgbClr val="000000"/>
              </a:solidFill>
              <a:latin typeface="Kaushan Script"/>
              <a:ea typeface="Kaushan Script"/>
              <a:cs typeface="Kaushan Script"/>
              <a:sym typeface="Kaushan Script"/>
            </a:rPr>
            <a:t>Home </a:t>
          </a:r>
          <a:endParaRPr sz="1400"/>
        </a:p>
      </xdr:txBody>
    </xdr:sp>
    <xdr:clientData fLocksWithSheet="0"/>
  </xdr:oneCellAnchor>
  <xdr:oneCellAnchor>
    <xdr:from>
      <xdr:col>0</xdr:col>
      <xdr:colOff>28575</xdr:colOff>
      <xdr:row>0</xdr:row>
      <xdr:rowOff>104775</xdr:rowOff>
    </xdr:from>
    <xdr:ext cx="3009900" cy="2047875"/>
    <xdr:pic>
      <xdr:nvPicPr>
        <xdr:cNvPr id="6" name="image2.png">
          <a:extLst>
            <a:ext uri="{FF2B5EF4-FFF2-40B4-BE49-F238E27FC236}">
              <a16:creationId xmlns:a16="http://schemas.microsoft.com/office/drawing/2014/main" id="{9B46723E-D2D4-4A70-9CE7-08E5EA8A30FA}"/>
            </a:ext>
          </a:extLst>
        </xdr:cNvPr>
        <xdr:cNvPicPr preferRelativeResize="0"/>
      </xdr:nvPicPr>
      <xdr:blipFill>
        <a:blip xmlns:r="http://schemas.openxmlformats.org/officeDocument/2006/relationships" r:embed="rId1" cstate="print"/>
        <a:stretch>
          <a:fillRect/>
        </a:stretch>
      </xdr:blipFill>
      <xdr:spPr>
        <a:xfrm>
          <a:off x="28575" y="104775"/>
          <a:ext cx="3009900" cy="2047875"/>
        </a:xfrm>
        <a:prstGeom prst="rect">
          <a:avLst/>
        </a:prstGeom>
        <a:noFill/>
      </xdr:spPr>
    </xdr:pic>
    <xdr:clientData fLocksWithSheet="0"/>
  </xdr:oneCellAnchor>
  <xdr:oneCellAnchor>
    <xdr:from>
      <xdr:col>13</xdr:col>
      <xdr:colOff>463550</xdr:colOff>
      <xdr:row>43</xdr:row>
      <xdr:rowOff>149225</xdr:rowOff>
    </xdr:from>
    <xdr:ext cx="1047750" cy="857250"/>
    <xdr:pic>
      <xdr:nvPicPr>
        <xdr:cNvPr id="7" name="image1.png">
          <a:extLst>
            <a:ext uri="{FF2B5EF4-FFF2-40B4-BE49-F238E27FC236}">
              <a16:creationId xmlns:a16="http://schemas.microsoft.com/office/drawing/2014/main" id="{BAFFE553-BE50-44A7-8674-17420219C1A7}"/>
            </a:ext>
          </a:extLst>
        </xdr:cNvPr>
        <xdr:cNvPicPr preferRelativeResize="0"/>
      </xdr:nvPicPr>
      <xdr:blipFill>
        <a:blip xmlns:r="http://schemas.openxmlformats.org/officeDocument/2006/relationships" r:embed="rId2" cstate="print"/>
        <a:stretch>
          <a:fillRect/>
        </a:stretch>
      </xdr:blipFill>
      <xdr:spPr>
        <a:xfrm>
          <a:off x="18688050" y="9578975"/>
          <a:ext cx="1047750" cy="857250"/>
        </a:xfrm>
        <a:prstGeom prst="rect">
          <a:avLst/>
        </a:prstGeom>
        <a:noFill/>
      </xdr:spPr>
    </xdr:pic>
    <xdr:clientData fLocksWithSheet="0"/>
  </xdr:oneCellAnchor>
  <xdr:twoCellAnchor editAs="oneCell">
    <xdr:from>
      <xdr:col>1</xdr:col>
      <xdr:colOff>181750</xdr:colOff>
      <xdr:row>19</xdr:row>
      <xdr:rowOff>118250</xdr:rowOff>
    </xdr:from>
    <xdr:to>
      <xdr:col>4</xdr:col>
      <xdr:colOff>1683525</xdr:colOff>
      <xdr:row>40</xdr:row>
      <xdr:rowOff>159020</xdr:rowOff>
    </xdr:to>
    <xdr:pic>
      <xdr:nvPicPr>
        <xdr:cNvPr id="11" name="Picture 10">
          <a:extLst>
            <a:ext uri="{FF2B5EF4-FFF2-40B4-BE49-F238E27FC236}">
              <a16:creationId xmlns:a16="http://schemas.microsoft.com/office/drawing/2014/main" id="{318CC095-1377-FA00-E031-64AD97B2E199}"/>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837473B0-CC2E-450A-ABE3-18F120FF3D39}">
              <a1611:picAttrSrcUrl xmlns:a1611="http://schemas.microsoft.com/office/drawing/2016/11/main" r:id="rId4"/>
            </a:ext>
          </a:extLst>
        </a:blip>
        <a:stretch>
          <a:fillRect/>
        </a:stretch>
      </xdr:blipFill>
      <xdr:spPr>
        <a:xfrm>
          <a:off x="1388250" y="4610875"/>
          <a:ext cx="7772400" cy="4358770"/>
        </a:xfrm>
        <a:prstGeom prst="rect">
          <a:avLst/>
        </a:prstGeom>
      </xdr:spPr>
    </xdr:pic>
    <xdr:clientData/>
  </xdr:twoCellAnchor>
  <xdr:twoCellAnchor>
    <xdr:from>
      <xdr:col>3</xdr:col>
      <xdr:colOff>349250</xdr:colOff>
      <xdr:row>29</xdr:row>
      <xdr:rowOff>0</xdr:rowOff>
    </xdr:from>
    <xdr:to>
      <xdr:col>4</xdr:col>
      <xdr:colOff>254000</xdr:colOff>
      <xdr:row>33</xdr:row>
      <xdr:rowOff>0</xdr:rowOff>
    </xdr:to>
    <xdr:sp macro="" textlink="">
      <xdr:nvSpPr>
        <xdr:cNvPr id="12" name="TextBox 11">
          <a:extLst>
            <a:ext uri="{FF2B5EF4-FFF2-40B4-BE49-F238E27FC236}">
              <a16:creationId xmlns:a16="http://schemas.microsoft.com/office/drawing/2014/main" id="{7A6124B9-51E9-973E-3BF7-ECF757937A22}"/>
            </a:ext>
          </a:extLst>
        </xdr:cNvPr>
        <xdr:cNvSpPr txBox="1"/>
      </xdr:nvSpPr>
      <xdr:spPr>
        <a:xfrm>
          <a:off x="5905500" y="6540500"/>
          <a:ext cx="1825625" cy="825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2400" b="1"/>
            <a:t>Help</a:t>
          </a:r>
          <a:r>
            <a:rPr lang="en-GB" sz="2400" b="1" baseline="0"/>
            <a:t> Page</a:t>
          </a:r>
          <a:endParaRPr lang="en-GB" sz="2400" b="1"/>
        </a:p>
      </xdr:txBody>
    </xdr:sp>
    <xdr:clientData/>
  </xdr:twoCellAnchor>
  <xdr:twoCellAnchor>
    <xdr:from>
      <xdr:col>1</xdr:col>
      <xdr:colOff>682625</xdr:colOff>
      <xdr:row>19</xdr:row>
      <xdr:rowOff>142875</xdr:rowOff>
    </xdr:from>
    <xdr:to>
      <xdr:col>2</xdr:col>
      <xdr:colOff>269875</xdr:colOff>
      <xdr:row>23</xdr:row>
      <xdr:rowOff>0</xdr:rowOff>
    </xdr:to>
    <xdr:sp macro="" textlink="">
      <xdr:nvSpPr>
        <xdr:cNvPr id="14" name="TextBox 13">
          <a:extLst>
            <a:ext uri="{FF2B5EF4-FFF2-40B4-BE49-F238E27FC236}">
              <a16:creationId xmlns:a16="http://schemas.microsoft.com/office/drawing/2014/main" id="{8E7342E8-58F6-8701-CD44-DB8333EC57FC}"/>
            </a:ext>
          </a:extLst>
        </xdr:cNvPr>
        <xdr:cNvSpPr txBox="1"/>
      </xdr:nvSpPr>
      <xdr:spPr>
        <a:xfrm>
          <a:off x="1889125" y="4635500"/>
          <a:ext cx="1571625"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2400" b="1" i="0" u="none"/>
            <a:t>Confused?</a:t>
          </a:r>
          <a:r>
            <a:rPr lang="en-GB" sz="2400" b="1" i="0" u="none" baseline="0"/>
            <a:t> </a:t>
          </a:r>
          <a:endParaRPr lang="en-GB" sz="2400" b="1" i="0" u="none"/>
        </a:p>
      </xdr:txBody>
    </xdr:sp>
    <xdr:clientData/>
  </xdr:twoCellAnchor>
  <xdr:oneCellAnchor>
    <xdr:from>
      <xdr:col>15</xdr:col>
      <xdr:colOff>301625</xdr:colOff>
      <xdr:row>43</xdr:row>
      <xdr:rowOff>111125</xdr:rowOff>
    </xdr:from>
    <xdr:ext cx="2076450" cy="914400"/>
    <xdr:sp macro="" textlink="">
      <xdr:nvSpPr>
        <xdr:cNvPr id="15" name="Shape 20">
          <a:extLst>
            <a:ext uri="{FF2B5EF4-FFF2-40B4-BE49-F238E27FC236}">
              <a16:creationId xmlns:a16="http://schemas.microsoft.com/office/drawing/2014/main" id="{916A2B25-FA59-4E22-8255-6C2BA20E0DBD}"/>
            </a:ext>
          </a:extLst>
        </xdr:cNvPr>
        <xdr:cNvSpPr/>
      </xdr:nvSpPr>
      <xdr:spPr>
        <a:xfrm>
          <a:off x="19954875" y="9540875"/>
          <a:ext cx="2076450" cy="914400"/>
        </a:xfrm>
        <a:prstGeom prst="rect">
          <a:avLst/>
        </a:prstGeom>
        <a:solidFill>
          <a:schemeClr val="accent4"/>
        </a:solidFill>
        <a:ln w="12700" cap="flat" cmpd="sng">
          <a:solidFill>
            <a:srgbClr val="42719B"/>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ctr" rtl="0">
            <a:spcBef>
              <a:spcPts val="0"/>
            </a:spcBef>
            <a:spcAft>
              <a:spcPts val="0"/>
            </a:spcAft>
            <a:buNone/>
          </a:pPr>
          <a:r>
            <a:rPr lang="en-US" sz="1600">
              <a:solidFill>
                <a:srgbClr val="000000"/>
              </a:solidFill>
              <a:latin typeface="Kaushan Script"/>
              <a:sym typeface="Kaushan Script"/>
            </a:rPr>
            <a:t>Help</a:t>
          </a:r>
        </a:p>
        <a:p>
          <a:pPr marL="0" lvl="0" indent="0" algn="ctr" rtl="0">
            <a:spcBef>
              <a:spcPts val="0"/>
            </a:spcBef>
            <a:spcAft>
              <a:spcPts val="0"/>
            </a:spcAft>
            <a:buNone/>
          </a:pPr>
          <a:r>
            <a:rPr lang="en-GB" sz="1400"/>
            <a:t> </a:t>
          </a:r>
          <a:endParaRPr sz="1400"/>
        </a:p>
      </xdr:txBody>
    </xdr:sp>
    <xdr:clientData fLocksWithSheet="0"/>
  </xdr:oneCellAnchor>
  <xdr:twoCellAnchor>
    <xdr:from>
      <xdr:col>1</xdr:col>
      <xdr:colOff>365125</xdr:colOff>
      <xdr:row>46</xdr:row>
      <xdr:rowOff>47625</xdr:rowOff>
    </xdr:from>
    <xdr:to>
      <xdr:col>3</xdr:col>
      <xdr:colOff>349250</xdr:colOff>
      <xdr:row>65</xdr:row>
      <xdr:rowOff>31750</xdr:rowOff>
    </xdr:to>
    <xdr:sp macro="" textlink="">
      <xdr:nvSpPr>
        <xdr:cNvPr id="8" name="TextBox 7">
          <a:extLst>
            <a:ext uri="{FF2B5EF4-FFF2-40B4-BE49-F238E27FC236}">
              <a16:creationId xmlns:a16="http://schemas.microsoft.com/office/drawing/2014/main" id="{09C24D56-E0E3-BC07-8A7F-7CA3C28824FE}"/>
            </a:ext>
          </a:extLst>
        </xdr:cNvPr>
        <xdr:cNvSpPr txBox="1"/>
      </xdr:nvSpPr>
      <xdr:spPr>
        <a:xfrm>
          <a:off x="1571625" y="10096500"/>
          <a:ext cx="4333875" cy="3905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800" b="1" i="1" u="sng"/>
            <a:t>Baseline data</a:t>
          </a:r>
          <a:r>
            <a:rPr lang="en-GB" sz="1800" b="1" i="1" u="sng" baseline="0"/>
            <a:t>:</a:t>
          </a:r>
        </a:p>
        <a:p>
          <a:endParaRPr lang="en-GB" sz="1400" b="1" i="1" u="sng" baseline="0"/>
        </a:p>
        <a:p>
          <a:r>
            <a:rPr lang="en-GB" sz="1600" b="0" i="0" u="none"/>
            <a:t>*</a:t>
          </a:r>
          <a:r>
            <a:rPr lang="en-GB" sz="1600" b="0" i="0" u="none" baseline="0"/>
            <a:t>  displays the original data of the cheeses in euros and pounds </a:t>
          </a:r>
        </a:p>
        <a:p>
          <a:endParaRPr lang="en-GB" sz="1600" b="0" i="0" u="none" baseline="0"/>
        </a:p>
        <a:p>
          <a:r>
            <a:rPr lang="en-GB" sz="1600" b="1" i="0" u="none" baseline="0"/>
            <a:t>* Data shown: </a:t>
          </a:r>
          <a:r>
            <a:rPr lang="en-GB" sz="1600" b="0" i="0" u="none" baseline="0"/>
            <a:t>cheese names, cost per kilogram, average monthly sales, profit per sales of cheese,sales per kg and Total profit </a:t>
          </a:r>
          <a:endParaRPr lang="en-GB" sz="1600" b="0" i="0" u="none"/>
        </a:p>
      </xdr:txBody>
    </xdr:sp>
    <xdr:clientData/>
  </xdr:twoCellAnchor>
  <xdr:twoCellAnchor>
    <xdr:from>
      <xdr:col>3</xdr:col>
      <xdr:colOff>1428750</xdr:colOff>
      <xdr:row>46</xdr:row>
      <xdr:rowOff>15875</xdr:rowOff>
    </xdr:from>
    <xdr:to>
      <xdr:col>6</xdr:col>
      <xdr:colOff>301625</xdr:colOff>
      <xdr:row>65</xdr:row>
      <xdr:rowOff>0</xdr:rowOff>
    </xdr:to>
    <xdr:sp macro="" textlink="">
      <xdr:nvSpPr>
        <xdr:cNvPr id="17" name="TextBox 16">
          <a:extLst>
            <a:ext uri="{FF2B5EF4-FFF2-40B4-BE49-F238E27FC236}">
              <a16:creationId xmlns:a16="http://schemas.microsoft.com/office/drawing/2014/main" id="{86F04A80-820E-49FA-A3B4-354A8673A574}"/>
            </a:ext>
          </a:extLst>
        </xdr:cNvPr>
        <xdr:cNvSpPr txBox="1"/>
      </xdr:nvSpPr>
      <xdr:spPr>
        <a:xfrm>
          <a:off x="6985000" y="10064750"/>
          <a:ext cx="4333875" cy="3905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800" b="1" i="1" u="sng"/>
            <a:t>Graphs:</a:t>
          </a:r>
        </a:p>
        <a:p>
          <a:pPr algn="l"/>
          <a:endParaRPr lang="en-GB" sz="1800" b="1" i="1" u="sng"/>
        </a:p>
        <a:p>
          <a:pPr marL="0" marR="0" lvl="0" indent="0" algn="l" defTabSz="914400" eaLnBrk="1" fontAlgn="auto" latinLnBrk="0" hangingPunct="1">
            <a:lnSpc>
              <a:spcPct val="100000"/>
            </a:lnSpc>
            <a:spcBef>
              <a:spcPts val="0"/>
            </a:spcBef>
            <a:spcAft>
              <a:spcPts val="0"/>
            </a:spcAft>
            <a:buClrTx/>
            <a:buSzTx/>
            <a:buFontTx/>
            <a:buNone/>
            <a:tabLst/>
            <a:defRPr/>
          </a:pPr>
          <a:r>
            <a:rPr lang="en-GB" sz="1600">
              <a:solidFill>
                <a:schemeClr val="dk1"/>
              </a:solidFill>
              <a:effectLst/>
              <a:latin typeface="+mn-lt"/>
              <a:ea typeface="+mn-ea"/>
              <a:cs typeface="+mn-cs"/>
            </a:rPr>
            <a:t>* The graphs page will convert the data in the predictions table into more of a visual format, this is so that the data will be easier to understand.</a:t>
          </a:r>
        </a:p>
        <a:p>
          <a:pPr algn="l"/>
          <a:endParaRPr lang="en-GB" sz="1800" b="1" i="0" u="none"/>
        </a:p>
        <a:p>
          <a:pPr algn="l"/>
          <a:r>
            <a:rPr lang="en-GB" sz="1800" b="1" i="0" u="none"/>
            <a:t>*</a:t>
          </a:r>
          <a:r>
            <a:rPr lang="en-GB" sz="1800" b="1" i="0" u="none" baseline="0"/>
            <a:t> Data shown: </a:t>
          </a:r>
          <a:r>
            <a:rPr lang="en-GB" sz="1800" b="0" i="0" u="none" baseline="0"/>
            <a:t> average monthly sales, cheese name, cheese price profit per sales of cheese and total profit.</a:t>
          </a:r>
          <a:endParaRPr lang="en-GB" sz="1800" b="1" i="0" u="none"/>
        </a:p>
      </xdr:txBody>
    </xdr:sp>
    <xdr:clientData/>
  </xdr:twoCellAnchor>
  <xdr:twoCellAnchor>
    <xdr:from>
      <xdr:col>7</xdr:col>
      <xdr:colOff>127000</xdr:colOff>
      <xdr:row>46</xdr:row>
      <xdr:rowOff>31750</xdr:rowOff>
    </xdr:from>
    <xdr:to>
      <xdr:col>11</xdr:col>
      <xdr:colOff>762000</xdr:colOff>
      <xdr:row>65</xdr:row>
      <xdr:rowOff>1</xdr:rowOff>
    </xdr:to>
    <xdr:sp macro="" textlink="">
      <xdr:nvSpPr>
        <xdr:cNvPr id="18" name="TextBox 17">
          <a:extLst>
            <a:ext uri="{FF2B5EF4-FFF2-40B4-BE49-F238E27FC236}">
              <a16:creationId xmlns:a16="http://schemas.microsoft.com/office/drawing/2014/main" id="{324F0BDC-9794-41FB-8BBD-A39475A53508}"/>
            </a:ext>
          </a:extLst>
        </xdr:cNvPr>
        <xdr:cNvSpPr txBox="1"/>
      </xdr:nvSpPr>
      <xdr:spPr>
        <a:xfrm>
          <a:off x="12176125" y="10080625"/>
          <a:ext cx="4968875" cy="38893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800" b="1" i="1" u="sng"/>
            <a:t>Predicted data:</a:t>
          </a:r>
        </a:p>
        <a:p>
          <a:pPr algn="ctr"/>
          <a:endParaRPr lang="en-GB" sz="1800" b="1" i="1" u="sng"/>
        </a:p>
        <a:p>
          <a:pPr marL="0" marR="0" lvl="0" indent="0" algn="l" defTabSz="914400" eaLnBrk="1" fontAlgn="auto" latinLnBrk="0" hangingPunct="1">
            <a:lnSpc>
              <a:spcPct val="100000"/>
            </a:lnSpc>
            <a:spcBef>
              <a:spcPts val="0"/>
            </a:spcBef>
            <a:spcAft>
              <a:spcPts val="0"/>
            </a:spcAft>
            <a:buClrTx/>
            <a:buSzTx/>
            <a:buFontTx/>
            <a:buNone/>
            <a:tabLst/>
            <a:defRPr/>
          </a:pPr>
          <a:r>
            <a:rPr lang="en-GB" sz="1600" b="0" i="0" baseline="0">
              <a:solidFill>
                <a:schemeClr val="dk1"/>
              </a:solidFill>
              <a:effectLst/>
              <a:latin typeface="+mn-lt"/>
              <a:ea typeface="+mn-ea"/>
              <a:cs typeface="+mn-cs"/>
            </a:rPr>
            <a:t>*  Allows users to manipulate data </a:t>
          </a:r>
          <a:r>
            <a:rPr lang="en-GB" sz="1600">
              <a:solidFill>
                <a:schemeClr val="dk1"/>
              </a:solidFill>
              <a:effectLst/>
              <a:latin typeface="+mn-lt"/>
              <a:ea typeface="+mn-ea"/>
              <a:cs typeface="+mn-cs"/>
            </a:rPr>
            <a:t>The predictions page will be used to allow the users to predict the data, the predictions page will essentially work by the user changing the exchange rate or the profit margin by entering a new number in either the profit margin or exchange rate. After one of the 2 have been altered, it will result in the table containing the data to be changed. </a:t>
          </a:r>
          <a:endParaRPr lang="en-GB" sz="1600" b="0" i="0" baseline="0">
            <a:solidFill>
              <a:schemeClr val="dk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GB" sz="1600" b="0" i="0" baseline="0">
            <a:solidFill>
              <a:schemeClr val="dk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GB" sz="1600" b="0" i="0" baseline="0">
            <a:solidFill>
              <a:schemeClr val="dk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GB" sz="1600" b="0" i="0" baseline="0">
            <a:solidFill>
              <a:schemeClr val="dk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GB" sz="1600" b="1" i="0" baseline="0">
              <a:solidFill>
                <a:schemeClr val="dk1"/>
              </a:solidFill>
              <a:effectLst/>
              <a:latin typeface="+mn-lt"/>
              <a:ea typeface="+mn-ea"/>
              <a:cs typeface="+mn-cs"/>
            </a:rPr>
            <a:t>* Data shown: </a:t>
          </a:r>
          <a:r>
            <a:rPr lang="en-GB" sz="1600" b="0" i="0" baseline="0">
              <a:solidFill>
                <a:schemeClr val="dk1"/>
              </a:solidFill>
              <a:effectLst/>
              <a:latin typeface="+mn-lt"/>
              <a:ea typeface="+mn-ea"/>
              <a:cs typeface="+mn-cs"/>
            </a:rPr>
            <a:t>cheese names, cost per kilogram, average monthly sales, profit per sales of cheese and Total profit </a:t>
          </a:r>
          <a:endParaRPr lang="en-GB" sz="2800">
            <a:effectLst/>
          </a:endParaRPr>
        </a:p>
        <a:p>
          <a:pPr algn="l"/>
          <a:endParaRPr lang="en-GB" sz="1800" b="1" i="1" u="sng"/>
        </a:p>
      </xdr:txBody>
    </xdr:sp>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E1000"/>
  <sheetViews>
    <sheetView showGridLines="0" topLeftCell="A16" zoomScaleNormal="100" workbookViewId="0">
      <selection activeCell="D12" sqref="D12"/>
    </sheetView>
  </sheetViews>
  <sheetFormatPr baseColWidth="10" defaultColWidth="14.5" defaultRowHeight="15" customHeight="1"/>
  <cols>
    <col min="1" max="1" width="44.5" customWidth="1"/>
    <col min="2" max="2" width="8.6640625" customWidth="1"/>
    <col min="3" max="3" width="25.1640625" customWidth="1"/>
    <col min="4" max="5" width="8.6640625" customWidth="1"/>
    <col min="6" max="6" width="30.6640625" customWidth="1"/>
    <col min="7" max="7" width="8.6640625" customWidth="1"/>
    <col min="8" max="8" width="18.83203125" customWidth="1"/>
    <col min="9" max="30" width="8.6640625" customWidth="1"/>
  </cols>
  <sheetData>
    <row r="1" spans="1:239" ht="28.5" customHeight="1">
      <c r="A1" s="1"/>
      <c r="B1" s="1"/>
      <c r="C1" s="1"/>
      <c r="D1" s="1"/>
      <c r="E1" s="1"/>
      <c r="F1" s="1"/>
      <c r="G1" s="1"/>
      <c r="H1" s="1"/>
      <c r="I1" s="1"/>
      <c r="J1" s="1"/>
      <c r="K1" s="1"/>
      <c r="L1" s="1"/>
      <c r="M1" s="1"/>
      <c r="N1" s="1"/>
      <c r="O1" s="1"/>
      <c r="P1" s="1"/>
      <c r="Q1" s="1"/>
      <c r="R1" s="1"/>
      <c r="S1" s="1"/>
      <c r="T1" s="1"/>
      <c r="U1" s="1"/>
    </row>
    <row r="2" spans="1:239">
      <c r="A2" s="1"/>
      <c r="B2" s="1"/>
      <c r="C2" s="1"/>
      <c r="D2" s="1"/>
      <c r="E2" s="1"/>
      <c r="F2" s="1"/>
      <c r="G2" s="1"/>
      <c r="H2" s="1"/>
      <c r="I2" s="1"/>
      <c r="J2" s="1"/>
      <c r="K2" s="1"/>
      <c r="L2" s="1"/>
      <c r="M2" s="1"/>
      <c r="N2" s="1"/>
      <c r="O2" s="1"/>
      <c r="P2" s="1"/>
      <c r="Q2" s="1"/>
      <c r="R2" s="1"/>
      <c r="S2" s="1"/>
      <c r="T2" s="1"/>
      <c r="U2" s="1"/>
    </row>
    <row r="3" spans="1:239" ht="20.25" customHeight="1">
      <c r="A3" s="1"/>
      <c r="B3" s="1"/>
      <c r="C3" s="1"/>
      <c r="D3" s="1"/>
      <c r="E3" s="1"/>
      <c r="F3" s="1"/>
      <c r="G3" s="1"/>
      <c r="H3" s="1"/>
      <c r="I3" s="1"/>
      <c r="J3" s="1"/>
      <c r="K3" s="1"/>
      <c r="L3" s="1"/>
      <c r="M3" s="1"/>
      <c r="N3" s="1"/>
      <c r="O3" s="1"/>
      <c r="P3" s="1"/>
      <c r="Q3" s="1"/>
      <c r="R3" s="1"/>
      <c r="S3" s="1"/>
      <c r="T3" s="1"/>
      <c r="U3" s="1"/>
    </row>
    <row r="4" spans="1:239">
      <c r="A4" s="1"/>
      <c r="B4" s="1"/>
      <c r="C4" s="1"/>
      <c r="D4" s="1"/>
      <c r="E4" s="1"/>
      <c r="F4" s="1"/>
      <c r="G4" s="1"/>
      <c r="H4" s="1"/>
      <c r="I4" s="1"/>
      <c r="J4" s="1"/>
      <c r="K4" s="1"/>
      <c r="L4" s="1"/>
      <c r="M4" s="1"/>
      <c r="N4" s="1"/>
      <c r="O4" s="1"/>
      <c r="P4" s="1"/>
      <c r="Q4" s="1"/>
      <c r="R4" s="1"/>
      <c r="S4" s="1"/>
      <c r="T4" s="1"/>
      <c r="U4" s="1"/>
    </row>
    <row r="5" spans="1:239" ht="24.75" customHeight="1">
      <c r="A5" s="1"/>
      <c r="B5" s="1"/>
      <c r="C5" s="1"/>
      <c r="D5" s="1"/>
      <c r="E5" s="1"/>
      <c r="F5" s="1"/>
      <c r="G5" s="1"/>
      <c r="H5" s="1"/>
      <c r="I5" s="1"/>
      <c r="J5" s="1"/>
      <c r="K5" s="1"/>
      <c r="L5" s="1"/>
      <c r="M5" s="1"/>
      <c r="N5" s="1"/>
      <c r="O5" s="1"/>
      <c r="P5" s="1"/>
      <c r="Q5" s="1"/>
      <c r="R5" s="1"/>
      <c r="S5" s="1"/>
      <c r="T5" s="1"/>
      <c r="U5" s="1"/>
      <c r="V5" s="1"/>
      <c r="W5" s="1"/>
      <c r="X5" s="1"/>
      <c r="Y5" s="1"/>
      <c r="Z5" s="1"/>
      <c r="AA5" s="1"/>
      <c r="AB5" s="1"/>
      <c r="AC5" s="1"/>
      <c r="AD5" s="1"/>
    </row>
    <row r="6" spans="1:239">
      <c r="A6" s="1"/>
      <c r="B6" s="1"/>
      <c r="C6" s="1"/>
      <c r="D6" s="1"/>
      <c r="E6" s="1"/>
      <c r="F6" s="1"/>
      <c r="G6" s="1"/>
      <c r="H6" s="1"/>
      <c r="I6" s="1"/>
      <c r="J6" s="1"/>
      <c r="K6" s="1"/>
      <c r="L6" s="1"/>
      <c r="M6" s="1"/>
      <c r="N6" s="1"/>
      <c r="O6" s="1"/>
      <c r="P6" s="1"/>
      <c r="Q6" s="1"/>
      <c r="R6" s="1"/>
      <c r="S6" s="1"/>
      <c r="T6" s="1"/>
      <c r="U6" s="1"/>
      <c r="V6" s="1"/>
      <c r="W6" s="1"/>
      <c r="X6" s="1"/>
      <c r="Y6" s="1"/>
      <c r="Z6" s="1"/>
      <c r="AA6" s="1"/>
      <c r="AB6" s="1"/>
      <c r="AC6" s="1"/>
      <c r="AD6" s="1"/>
    </row>
    <row r="7" spans="1:239" ht="59.25" customHeight="1">
      <c r="A7" s="1"/>
      <c r="B7" s="1"/>
      <c r="C7" s="1"/>
      <c r="D7" s="1"/>
      <c r="E7" s="1"/>
      <c r="F7" s="67" t="s">
        <v>0</v>
      </c>
      <c r="G7" s="67"/>
      <c r="H7" s="67"/>
      <c r="I7" s="1"/>
      <c r="J7" s="1"/>
      <c r="K7" s="1"/>
      <c r="L7" s="1"/>
      <c r="M7" s="1"/>
      <c r="N7" s="1"/>
      <c r="O7" s="1"/>
      <c r="P7" s="1"/>
      <c r="Q7" s="1"/>
      <c r="R7" s="1"/>
      <c r="S7" s="1"/>
      <c r="T7" s="1"/>
      <c r="U7" s="1"/>
      <c r="V7" s="1"/>
      <c r="W7" s="1"/>
      <c r="X7" s="1"/>
      <c r="Y7" s="1"/>
      <c r="Z7" s="1"/>
      <c r="AA7" s="1"/>
      <c r="AB7" s="1"/>
      <c r="AC7" s="1"/>
      <c r="AD7" s="1"/>
    </row>
    <row r="8" spans="1:239">
      <c r="A8" s="1"/>
      <c r="B8" s="1"/>
      <c r="C8" s="1"/>
      <c r="D8" s="1"/>
      <c r="E8" s="1"/>
      <c r="F8" s="1"/>
      <c r="G8" s="1"/>
      <c r="H8" s="1"/>
      <c r="I8" s="1"/>
      <c r="J8" s="1"/>
      <c r="K8" s="1"/>
      <c r="L8" s="1"/>
      <c r="M8" s="1"/>
      <c r="N8" s="1"/>
      <c r="O8" s="1"/>
      <c r="P8" s="1"/>
      <c r="Q8" s="1"/>
      <c r="R8" s="1"/>
      <c r="S8" s="1"/>
      <c r="T8" s="1"/>
      <c r="U8" s="1"/>
      <c r="V8" s="1"/>
      <c r="W8" s="1"/>
      <c r="X8" s="1"/>
      <c r="Y8" s="1"/>
      <c r="Z8" s="1"/>
      <c r="AA8" s="1"/>
      <c r="AB8" s="1"/>
      <c r="AC8" s="1"/>
      <c r="AD8" s="1"/>
    </row>
    <row r="9" spans="1:239">
      <c r="A9" s="1"/>
      <c r="B9" s="1"/>
      <c r="C9" s="1"/>
      <c r="D9" s="1"/>
      <c r="E9" s="1"/>
      <c r="F9" s="1"/>
      <c r="G9" s="1"/>
      <c r="H9" s="1"/>
      <c r="I9" s="1"/>
      <c r="J9" s="1"/>
      <c r="K9" s="1"/>
      <c r="L9" s="1"/>
      <c r="M9" s="1"/>
      <c r="N9" s="1"/>
      <c r="O9" s="1"/>
      <c r="P9" s="1"/>
      <c r="Q9" s="1"/>
      <c r="R9" s="1"/>
      <c r="S9" s="1"/>
      <c r="T9" s="1"/>
      <c r="U9" s="1"/>
      <c r="V9" s="1"/>
      <c r="W9" s="1"/>
      <c r="X9" s="1"/>
      <c r="Y9" s="1"/>
      <c r="Z9" s="1"/>
      <c r="AA9" s="1"/>
      <c r="AB9" s="1"/>
      <c r="AC9" s="1"/>
      <c r="AD9" s="1"/>
    </row>
    <row r="10" spans="1:239" ht="26.25" customHeight="1">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row>
    <row r="11" spans="1:239">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row>
    <row r="12" spans="1:239">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row>
    <row r="13" spans="1:239">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row>
    <row r="14" spans="1:239">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row>
    <row r="15" spans="1:239" ht="36.75" customHeight="1">
      <c r="A15" s="24" t="s">
        <v>1</v>
      </c>
      <c r="B15" s="2"/>
      <c r="C15" s="66" t="s">
        <v>2</v>
      </c>
      <c r="D15" s="66"/>
      <c r="E15" s="66"/>
      <c r="F15" s="2"/>
      <c r="G15" s="2"/>
      <c r="H15" s="2"/>
      <c r="I15" s="2"/>
      <c r="J15" s="2"/>
      <c r="K15" s="2"/>
      <c r="L15" s="2"/>
      <c r="M15" s="2"/>
      <c r="N15" s="2"/>
      <c r="O15" s="2"/>
      <c r="P15" s="2"/>
      <c r="Q15" s="2"/>
      <c r="R15" s="2"/>
      <c r="S15" s="2"/>
      <c r="T15" s="2"/>
      <c r="U15" s="2"/>
      <c r="V15" s="2"/>
      <c r="W15" s="2"/>
      <c r="X15" s="2"/>
      <c r="Y15" s="2"/>
      <c r="Z15" s="2"/>
      <c r="AA15" s="2"/>
      <c r="AB15" s="2"/>
      <c r="AC15" s="2"/>
      <c r="AD15" s="2"/>
      <c r="AE15" s="53"/>
      <c r="AF15" s="53"/>
      <c r="AG15" s="53"/>
      <c r="AH15" s="53"/>
      <c r="AI15" s="53"/>
      <c r="AJ15" s="53"/>
      <c r="AK15" s="53"/>
      <c r="AL15" s="53"/>
      <c r="AM15" s="53"/>
      <c r="AN15" s="53"/>
      <c r="AO15" s="53"/>
      <c r="AP15" s="53"/>
      <c r="AQ15" s="53"/>
      <c r="AR15" s="53"/>
      <c r="AS15" s="53"/>
      <c r="AT15" s="53"/>
      <c r="AU15" s="53"/>
      <c r="AV15" s="53"/>
      <c r="AW15" s="53"/>
      <c r="AX15" s="53"/>
      <c r="AY15" s="53"/>
      <c r="AZ15" s="53"/>
      <c r="BA15" s="53"/>
      <c r="BB15" s="53"/>
      <c r="BC15" s="53"/>
      <c r="BD15" s="53"/>
      <c r="BE15" s="53"/>
      <c r="BF15" s="53"/>
      <c r="BG15" s="53"/>
      <c r="BH15" s="53"/>
      <c r="BI15" s="53"/>
      <c r="BJ15" s="53"/>
      <c r="BK15" s="53"/>
      <c r="BL15" s="53"/>
      <c r="BM15" s="53"/>
      <c r="BN15" s="53"/>
      <c r="BO15" s="53"/>
      <c r="BP15" s="53"/>
      <c r="BQ15" s="53"/>
      <c r="BR15" s="53"/>
      <c r="BS15" s="53"/>
      <c r="BT15" s="53"/>
      <c r="BU15" s="53"/>
      <c r="BV15" s="53"/>
      <c r="BW15" s="53"/>
      <c r="BX15" s="53"/>
      <c r="BY15" s="53"/>
      <c r="BZ15" s="53"/>
      <c r="CA15" s="53"/>
      <c r="CB15" s="53"/>
      <c r="CC15" s="53"/>
      <c r="CD15" s="53"/>
      <c r="CE15" s="53"/>
      <c r="CF15" s="53"/>
      <c r="CG15" s="53"/>
      <c r="CH15" s="53"/>
      <c r="CI15" s="53"/>
      <c r="CJ15" s="53"/>
      <c r="CK15" s="53"/>
      <c r="CL15" s="53"/>
      <c r="CM15" s="53"/>
      <c r="CN15" s="53"/>
      <c r="CO15" s="53"/>
      <c r="CP15" s="53"/>
      <c r="CQ15" s="53"/>
      <c r="CR15" s="53"/>
      <c r="CS15" s="53"/>
      <c r="CT15" s="53"/>
      <c r="CU15" s="53"/>
      <c r="CV15" s="53"/>
      <c r="CW15" s="53"/>
      <c r="CX15" s="53"/>
      <c r="CY15" s="53"/>
      <c r="CZ15" s="53"/>
      <c r="DA15" s="53"/>
      <c r="DB15" s="53"/>
      <c r="DC15" s="53"/>
      <c r="DD15" s="53"/>
      <c r="DE15" s="53"/>
      <c r="DF15" s="53"/>
      <c r="DG15" s="53"/>
      <c r="DH15" s="53"/>
      <c r="DI15" s="53"/>
      <c r="DJ15" s="53"/>
      <c r="DK15" s="53"/>
      <c r="DL15" s="53"/>
      <c r="DM15" s="53"/>
      <c r="DN15" s="53"/>
      <c r="DO15" s="53"/>
      <c r="DP15" s="53"/>
      <c r="DQ15" s="53"/>
      <c r="DR15" s="53"/>
      <c r="DS15" s="53"/>
      <c r="DT15" s="53"/>
      <c r="DU15" s="53"/>
      <c r="DV15" s="53"/>
      <c r="DW15" s="53"/>
      <c r="DX15" s="53"/>
      <c r="DY15" s="53"/>
      <c r="DZ15" s="53"/>
      <c r="EA15" s="53"/>
      <c r="EB15" s="53"/>
      <c r="EC15" s="53"/>
      <c r="ED15" s="53"/>
      <c r="EE15" s="53"/>
      <c r="EF15" s="53"/>
      <c r="EG15" s="53"/>
      <c r="EH15" s="53"/>
      <c r="EI15" s="53"/>
      <c r="EJ15" s="53"/>
      <c r="EK15" s="53"/>
      <c r="EL15" s="53"/>
      <c r="EM15" s="53"/>
      <c r="EN15" s="53"/>
      <c r="EO15" s="53"/>
      <c r="EP15" s="53"/>
      <c r="EQ15" s="53"/>
      <c r="ER15" s="53"/>
      <c r="ES15" s="53"/>
      <c r="ET15" s="53"/>
      <c r="EU15" s="53"/>
      <c r="EV15" s="53"/>
      <c r="EW15" s="53"/>
      <c r="EX15" s="53"/>
      <c r="EY15" s="53"/>
      <c r="EZ15" s="53"/>
      <c r="FA15" s="53"/>
      <c r="FB15" s="53"/>
      <c r="FC15" s="53"/>
      <c r="FD15" s="53"/>
      <c r="FE15" s="53"/>
      <c r="FF15" s="53"/>
      <c r="FG15" s="53"/>
      <c r="FH15" s="53"/>
      <c r="FI15" s="53"/>
      <c r="FJ15" s="53"/>
      <c r="FK15" s="53"/>
      <c r="FL15" s="53"/>
      <c r="FM15" s="53"/>
      <c r="FN15" s="53"/>
      <c r="FO15" s="53"/>
      <c r="FP15" s="53"/>
      <c r="FQ15" s="53"/>
      <c r="FR15" s="53"/>
      <c r="FS15" s="53"/>
      <c r="FT15" s="53"/>
      <c r="FU15" s="53"/>
      <c r="FV15" s="53"/>
      <c r="FW15" s="53"/>
      <c r="FX15" s="53"/>
      <c r="FY15" s="53"/>
      <c r="FZ15" s="53"/>
      <c r="GA15" s="53"/>
      <c r="GB15" s="53"/>
      <c r="GC15" s="53"/>
      <c r="GD15" s="53"/>
      <c r="GE15" s="53"/>
      <c r="GF15" s="53"/>
      <c r="GG15" s="53"/>
      <c r="GH15" s="53"/>
      <c r="GI15" s="53"/>
      <c r="GJ15" s="53"/>
      <c r="GK15" s="53"/>
      <c r="GL15" s="53"/>
      <c r="GM15" s="53"/>
      <c r="GN15" s="53"/>
      <c r="GO15" s="53"/>
      <c r="GP15" s="53"/>
      <c r="GQ15" s="53"/>
      <c r="GR15" s="53"/>
      <c r="GS15" s="53"/>
      <c r="GT15" s="53"/>
      <c r="GU15" s="53"/>
      <c r="GV15" s="53"/>
      <c r="GW15" s="53"/>
      <c r="GX15" s="53"/>
      <c r="GY15" s="53"/>
      <c r="GZ15" s="53"/>
      <c r="HA15" s="53"/>
      <c r="HB15" s="53"/>
      <c r="HC15" s="53"/>
      <c r="HD15" s="53"/>
      <c r="HE15" s="53"/>
      <c r="HF15" s="53"/>
      <c r="HG15" s="53"/>
      <c r="HH15" s="53"/>
      <c r="HI15" s="53"/>
      <c r="HJ15" s="53"/>
      <c r="HK15" s="53"/>
      <c r="HL15" s="53"/>
      <c r="HM15" s="53"/>
      <c r="HN15" s="53"/>
      <c r="HO15" s="53"/>
      <c r="HP15" s="53"/>
      <c r="HQ15" s="53"/>
      <c r="HR15" s="53"/>
      <c r="HS15" s="53"/>
      <c r="HT15" s="53"/>
      <c r="HU15" s="53"/>
      <c r="HV15" s="53"/>
      <c r="HW15" s="53"/>
      <c r="HX15" s="53"/>
      <c r="HY15" s="53"/>
      <c r="HZ15" s="53"/>
      <c r="IA15" s="53"/>
      <c r="IB15" s="53"/>
      <c r="IC15" s="53"/>
      <c r="ID15" s="53"/>
      <c r="IE15" s="53"/>
    </row>
    <row r="16" spans="1:239" ht="37.5" customHeight="1">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row>
    <row r="17" spans="1:30">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row>
    <row r="18" spans="1:30">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row>
    <row r="19" spans="1:30">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row>
    <row r="20" spans="1:30">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row>
    <row r="21" spans="1:30" ht="66" customHeight="1">
      <c r="A21" s="61" t="s">
        <v>3</v>
      </c>
      <c r="B21" s="62"/>
      <c r="C21" s="62"/>
      <c r="D21" s="62"/>
      <c r="E21" s="62"/>
      <c r="F21" s="62"/>
      <c r="G21" s="62"/>
      <c r="H21" s="62"/>
      <c r="I21" s="63"/>
      <c r="J21" s="64" t="s">
        <v>4</v>
      </c>
      <c r="K21" s="62"/>
      <c r="L21" s="62"/>
      <c r="M21" s="63"/>
      <c r="N21" s="1"/>
      <c r="O21" s="1"/>
      <c r="P21" s="1"/>
      <c r="Q21" s="1"/>
      <c r="R21" s="1"/>
      <c r="S21" s="1"/>
      <c r="T21" s="1"/>
      <c r="U21" s="1"/>
      <c r="V21" s="1"/>
      <c r="W21" s="1"/>
      <c r="X21" s="1"/>
      <c r="Y21" s="1"/>
      <c r="Z21" s="1"/>
      <c r="AA21" s="1"/>
      <c r="AB21" s="1"/>
      <c r="AC21" s="1"/>
      <c r="AD21" s="1"/>
    </row>
    <row r="22" spans="1:30" ht="15.75" customHeight="1">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row>
    <row r="23" spans="1:30" ht="15.75" customHeight="1">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row>
    <row r="24" spans="1:30" ht="15.75" customHeight="1">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row>
    <row r="25" spans="1:30" ht="15.75" customHeight="1">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row>
    <row r="26" spans="1:30" ht="15.75" customHeight="1">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row>
    <row r="27" spans="1:30" ht="15.75" customHeight="1">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row>
    <row r="28" spans="1:30" ht="15.75" customHeight="1">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row>
    <row r="29" spans="1:30" ht="15.75" customHeight="1">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row>
    <row r="30" spans="1:30" ht="15.75" customHeight="1">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row>
    <row r="31" spans="1:30" ht="15.75" customHeight="1">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row>
    <row r="32" spans="1:30" ht="15.75" customHeight="1">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row>
    <row r="33" spans="1:30" ht="15.75" customHeight="1">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row>
    <row r="34" spans="1:30"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row>
    <row r="35" spans="1:30"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row>
    <row r="36" spans="1:30"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row>
    <row r="37" spans="1:30"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row>
    <row r="38" spans="1:30"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row>
    <row r="39" spans="1:30"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row>
    <row r="40" spans="1:30"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row>
    <row r="41" spans="1:30" ht="15.75" customHeight="1">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row>
    <row r="42" spans="1:30"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row>
    <row r="43" spans="1:30"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row>
    <row r="44" spans="1:30" ht="16.5" customHeight="1">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row>
    <row r="45" spans="1:30" ht="21" customHeight="1">
      <c r="A45" s="1"/>
      <c r="B45" s="65" t="s">
        <v>5</v>
      </c>
      <c r="C45" s="62"/>
      <c r="D45" s="62"/>
      <c r="E45" s="62"/>
      <c r="F45" s="63"/>
      <c r="G45" s="1"/>
      <c r="H45" s="1"/>
      <c r="I45" s="1"/>
      <c r="J45" s="1"/>
      <c r="K45" s="1"/>
      <c r="L45" s="1"/>
      <c r="M45" s="1"/>
      <c r="N45" s="1"/>
      <c r="O45" s="1"/>
      <c r="P45" s="1"/>
      <c r="Q45" s="1"/>
      <c r="R45" s="1"/>
      <c r="S45" s="1"/>
      <c r="T45" s="1"/>
      <c r="U45" s="1"/>
      <c r="V45" s="1"/>
      <c r="W45" s="1"/>
      <c r="X45" s="1"/>
      <c r="Y45" s="1"/>
      <c r="Z45" s="1"/>
      <c r="AA45" s="1"/>
      <c r="AB45" s="1"/>
      <c r="AC45" s="1"/>
      <c r="AD45" s="1"/>
    </row>
    <row r="46" spans="1:30"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row>
    <row r="47" spans="1:30"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row>
    <row r="48" spans="1:30"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row>
    <row r="49" spans="1:30"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row>
    <row r="50" spans="1:30"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row>
    <row r="51" spans="1:30"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row>
    <row r="52" spans="1:30"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row>
    <row r="53" spans="1:30"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row>
    <row r="54" spans="1:30"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row>
    <row r="55" spans="1:30"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row>
    <row r="56" spans="1:30"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row>
    <row r="57" spans="1:30"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row>
    <row r="58" spans="1:30"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row>
    <row r="59" spans="1:30"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row>
    <row r="60" spans="1:30"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row>
    <row r="61" spans="1:30"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row>
    <row r="62" spans="1:30"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row>
    <row r="63" spans="1:30"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row>
    <row r="64" spans="1:30"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row>
    <row r="65" spans="1:30"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row>
    <row r="66" spans="1:30"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row>
    <row r="67" spans="1:30"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row>
    <row r="68" spans="1:30"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row>
    <row r="69" spans="1:30"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row>
    <row r="70" spans="1:30"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row>
    <row r="71" spans="1:30"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row>
    <row r="72" spans="1:30"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row>
    <row r="73" spans="1:30"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row>
    <row r="74" spans="1:30"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row>
    <row r="75" spans="1:30"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row>
    <row r="76" spans="1:30"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row>
    <row r="77" spans="1:30"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row>
    <row r="78" spans="1:30"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row>
    <row r="79" spans="1:30"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row>
    <row r="80" spans="1:30"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row>
    <row r="81" spans="1:30"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row>
    <row r="82" spans="1:30"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row>
    <row r="83" spans="1:30"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row>
    <row r="84" spans="1:30"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row>
    <row r="85" spans="1:30"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row>
    <row r="86" spans="1:30"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row>
    <row r="87" spans="1:30"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row>
    <row r="88" spans="1:30"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row>
    <row r="89" spans="1:30"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row>
    <row r="90" spans="1:30"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row>
    <row r="91" spans="1:30"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row>
    <row r="92" spans="1:30"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row>
    <row r="93" spans="1:30"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row>
    <row r="94" spans="1:30"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row>
    <row r="95" spans="1:30"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row>
    <row r="96" spans="1:30"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row>
    <row r="97" spans="1:30"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row>
    <row r="98" spans="1:30"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row>
    <row r="99" spans="1:30"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row>
    <row r="100" spans="1:30"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row>
    <row r="101" spans="1:30"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row>
    <row r="102" spans="1:30"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row>
    <row r="103" spans="1:30"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row>
    <row r="104" spans="1:30"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row>
    <row r="105" spans="1:30"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row>
    <row r="106" spans="1:30"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row>
    <row r="107" spans="1:30"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row>
    <row r="108" spans="1:30"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row>
    <row r="109" spans="1:30"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row>
    <row r="110" spans="1:30"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row>
    <row r="111" spans="1:30"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row>
    <row r="112" spans="1:30"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row>
    <row r="113" spans="1:30"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row>
    <row r="114" spans="1:30"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row>
    <row r="115" spans="1:30"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row>
    <row r="116" spans="1:30"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row>
    <row r="117" spans="1:30"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row>
    <row r="118" spans="1:30"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row>
    <row r="119" spans="1:30"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row>
    <row r="120" spans="1:30"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row>
    <row r="121" spans="1:30"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row>
    <row r="122" spans="1:30"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row>
    <row r="123" spans="1:30"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row>
    <row r="124" spans="1:30"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row>
    <row r="125" spans="1:30"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row>
    <row r="126" spans="1:30"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row>
    <row r="127" spans="1:30"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row>
    <row r="128" spans="1:30"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row>
    <row r="129" spans="1:30"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row>
    <row r="130" spans="1:30"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row>
    <row r="131" spans="1:30"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row>
    <row r="132" spans="1:30"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row>
    <row r="133" spans="1:30"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row>
    <row r="134" spans="1:30"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row>
    <row r="135" spans="1:30"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row>
    <row r="136" spans="1:30"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row>
    <row r="137" spans="1:30"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row>
    <row r="138" spans="1:30"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row>
    <row r="139" spans="1:30"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row>
    <row r="140" spans="1:30"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row>
    <row r="141" spans="1:30"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row>
    <row r="142" spans="1:30"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row>
    <row r="143" spans="1:30"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row>
    <row r="144" spans="1:30"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row>
    <row r="145" spans="1:30"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row>
    <row r="146" spans="1:30"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row>
    <row r="147" spans="1:30"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row>
    <row r="148" spans="1:30"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row>
    <row r="149" spans="1:30"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row>
    <row r="150" spans="1:30"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row>
    <row r="151" spans="1:30"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row>
    <row r="152" spans="1:30"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row>
    <row r="153" spans="1:30"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row>
    <row r="154" spans="1:30"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row>
    <row r="155" spans="1:30"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row>
    <row r="156" spans="1:30"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row>
    <row r="157" spans="1:30"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row>
    <row r="158" spans="1:30"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row>
    <row r="159" spans="1:30"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row>
    <row r="160" spans="1:30"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row>
    <row r="161" spans="1:30"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row>
    <row r="162" spans="1:30"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row>
    <row r="163" spans="1:30"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row>
    <row r="164" spans="1:30"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row>
    <row r="165" spans="1:30"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row>
    <row r="166" spans="1:30"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row>
    <row r="167" spans="1:30"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row>
    <row r="168" spans="1:30"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row>
    <row r="169" spans="1:30"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row>
    <row r="170" spans="1:30"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row>
    <row r="171" spans="1:30"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row>
    <row r="172" spans="1:30"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row>
    <row r="173" spans="1:30"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row>
    <row r="174" spans="1:30"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row>
    <row r="175" spans="1:30"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row>
    <row r="176" spans="1:30"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row>
    <row r="177" spans="1:30"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row>
    <row r="178" spans="1:30"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row>
    <row r="179" spans="1:30"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row>
    <row r="180" spans="1:30"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row>
    <row r="181" spans="1:30"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row>
    <row r="182" spans="1:30"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row>
    <row r="183" spans="1:30"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row>
    <row r="184" spans="1:30"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row>
    <row r="185" spans="1:30"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row>
    <row r="186" spans="1:30"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row>
    <row r="187" spans="1:30"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row>
    <row r="188" spans="1:30"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row>
    <row r="189" spans="1:30"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row>
    <row r="190" spans="1:30"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row>
    <row r="191" spans="1:30"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row>
    <row r="192" spans="1:30"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row>
    <row r="193" spans="1:30"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row>
    <row r="194" spans="1:30"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row>
    <row r="195" spans="1:30"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row>
    <row r="196" spans="1:30"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row>
    <row r="197" spans="1:30"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row>
    <row r="198" spans="1:30"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row>
    <row r="199" spans="1:30"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row>
    <row r="200" spans="1:30"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row>
    <row r="201" spans="1:30"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row>
    <row r="202" spans="1:30"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row>
    <row r="203" spans="1:30"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row>
    <row r="204" spans="1:30"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row>
    <row r="205" spans="1:30"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row>
    <row r="206" spans="1:30"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row>
    <row r="207" spans="1:30"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row>
    <row r="208" spans="1:30"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row>
    <row r="209" spans="1:30"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row>
    <row r="210" spans="1:30"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row>
    <row r="211" spans="1:30"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row>
    <row r="212" spans="1:30"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row>
    <row r="213" spans="1:30"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row>
    <row r="214" spans="1:30"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row>
    <row r="215" spans="1:30"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row>
    <row r="216" spans="1:30"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row>
    <row r="217" spans="1:30"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row>
    <row r="218" spans="1:30"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row>
    <row r="219" spans="1:30"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row>
    <row r="220" spans="1:30"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row>
    <row r="221" spans="1:30"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row>
    <row r="222" spans="1:30"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row>
    <row r="223" spans="1:30"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row>
    <row r="224" spans="1:30"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row>
    <row r="225" spans="1:30"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row>
    <row r="226" spans="1:30"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row>
    <row r="227" spans="1:30"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row>
    <row r="228" spans="1:30"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row>
    <row r="229" spans="1:30"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row>
    <row r="230" spans="1:30"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row>
    <row r="231" spans="1:30"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row>
    <row r="232" spans="1:30"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row>
    <row r="233" spans="1:30"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row>
    <row r="234" spans="1:30"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row>
    <row r="235" spans="1:30"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row>
    <row r="236" spans="1:30"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row>
    <row r="237" spans="1:30"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row>
    <row r="238" spans="1:30"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row>
    <row r="239" spans="1:30"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row>
    <row r="240" spans="1:30"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row>
    <row r="241" spans="1:30"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row>
    <row r="242" spans="1:30"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row>
    <row r="243" spans="1:30"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row>
    <row r="244" spans="1:30"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row>
    <row r="245" spans="1:30"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row>
    <row r="246" spans="1:30" ht="15.75" customHeight="1"/>
    <row r="247" spans="1:30" ht="15.75" customHeight="1"/>
    <row r="248" spans="1:30" ht="15.75" customHeight="1"/>
    <row r="249" spans="1:30" ht="15.75" customHeight="1"/>
    <row r="250" spans="1:30" ht="15.75" customHeight="1"/>
    <row r="251" spans="1:30" ht="15.75" customHeight="1"/>
    <row r="252" spans="1:30" ht="15.75" customHeight="1"/>
    <row r="253" spans="1:30" ht="15.75" customHeight="1"/>
    <row r="254" spans="1:30" ht="15.75" customHeight="1"/>
    <row r="255" spans="1:30" ht="15.75" customHeight="1"/>
    <row r="256" spans="1:30"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5">
    <mergeCell ref="A21:I21"/>
    <mergeCell ref="J21:M21"/>
    <mergeCell ref="B45:F45"/>
    <mergeCell ref="C15:E15"/>
    <mergeCell ref="F7:H7"/>
  </mergeCells>
  <pageMargins left="0.7" right="0.7" top="0.75" bottom="0.75"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J1000"/>
  <sheetViews>
    <sheetView showGridLines="0" tabSelected="1" zoomScale="90" zoomScaleNormal="90" workbookViewId="0">
      <selection activeCell="B32" sqref="B32"/>
    </sheetView>
  </sheetViews>
  <sheetFormatPr baseColWidth="10" defaultColWidth="14.5" defaultRowHeight="15" customHeight="1"/>
  <cols>
    <col min="1" max="1" width="18.1640625" customWidth="1"/>
    <col min="2" max="2" width="30.1640625" customWidth="1"/>
    <col min="3" max="4" width="23.5" customWidth="1"/>
    <col min="5" max="5" width="24.83203125" customWidth="1"/>
    <col min="6" max="6" width="16.6640625" customWidth="1"/>
    <col min="7" max="7" width="15.5" customWidth="1"/>
    <col min="8" max="8" width="16.83203125" customWidth="1"/>
    <col min="9" max="9" width="16.5" customWidth="1"/>
    <col min="10" max="36" width="8.6640625" customWidth="1"/>
  </cols>
  <sheetData>
    <row r="1" spans="1:36">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row>
    <row r="2" spans="1:36" ht="23.25" customHeight="1">
      <c r="A2" s="1"/>
      <c r="B2" s="1"/>
      <c r="C2" s="1"/>
      <c r="D2" s="1"/>
      <c r="E2" s="1"/>
      <c r="F2" s="1"/>
      <c r="G2" s="1"/>
      <c r="H2" s="1"/>
      <c r="I2" s="68" t="s">
        <v>6</v>
      </c>
      <c r="J2" s="69"/>
      <c r="K2" s="1"/>
      <c r="L2" s="1"/>
      <c r="M2" s="1"/>
      <c r="N2" s="1"/>
      <c r="O2" s="1"/>
      <c r="P2" s="1"/>
      <c r="Q2" s="1"/>
      <c r="R2" s="1"/>
      <c r="S2" s="1"/>
      <c r="T2" s="1"/>
      <c r="U2" s="1"/>
      <c r="V2" s="1"/>
      <c r="W2" s="1"/>
      <c r="X2" s="1"/>
      <c r="Y2" s="1"/>
      <c r="Z2" s="1"/>
      <c r="AA2" s="1"/>
      <c r="AB2" s="1"/>
      <c r="AC2" s="1"/>
      <c r="AD2" s="1"/>
      <c r="AE2" s="1"/>
      <c r="AF2" s="1"/>
      <c r="AG2" s="1"/>
      <c r="AH2" s="1"/>
      <c r="AI2" s="1"/>
      <c r="AJ2" s="1"/>
    </row>
    <row r="3" spans="1:36">
      <c r="A3" s="1"/>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row>
    <row r="4" spans="1:36">
      <c r="A4" s="1"/>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row>
    <row r="5" spans="1:36">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row>
    <row r="6" spans="1:36" ht="22">
      <c r="A6" s="1"/>
      <c r="B6" s="1"/>
      <c r="C6" s="1"/>
      <c r="D6" s="25" t="s">
        <v>7</v>
      </c>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row>
    <row r="7" spans="1:36">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row>
    <row r="8" spans="1:36">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row>
    <row r="9" spans="1:36">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row>
    <row r="10" spans="1:36">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row>
    <row r="11" spans="1:36">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row>
    <row r="12" spans="1:36">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row>
    <row r="13" spans="1:36" ht="35.25" customHeight="1">
      <c r="A13" s="70"/>
      <c r="B13" s="71"/>
      <c r="C13" s="71"/>
      <c r="D13" s="69"/>
      <c r="E13" s="3"/>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row>
    <row r="14" spans="1:36">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row>
    <row r="15" spans="1:36" ht="48" customHeight="1">
      <c r="A15" s="72" t="s">
        <v>1</v>
      </c>
      <c r="B15" s="73"/>
      <c r="C15" s="74"/>
      <c r="D15" s="4"/>
      <c r="E15" s="72" t="s">
        <v>2</v>
      </c>
      <c r="F15" s="73"/>
      <c r="G15" s="74"/>
      <c r="H15" s="4"/>
      <c r="I15" s="4"/>
      <c r="J15" s="4"/>
      <c r="K15" s="4"/>
      <c r="L15" s="4"/>
      <c r="M15" s="4"/>
      <c r="N15" s="4"/>
      <c r="O15" s="4"/>
      <c r="P15" s="4"/>
      <c r="Q15" s="4"/>
      <c r="R15" s="4"/>
      <c r="S15" s="4"/>
      <c r="T15" s="4"/>
      <c r="U15" s="4"/>
      <c r="V15" s="4"/>
      <c r="W15" s="4"/>
      <c r="X15" s="4"/>
      <c r="Y15" s="4"/>
      <c r="Z15" s="4"/>
      <c r="AA15" s="4"/>
      <c r="AB15" s="4"/>
      <c r="AC15" s="4"/>
      <c r="AD15" s="1"/>
      <c r="AE15" s="1"/>
      <c r="AF15" s="1"/>
      <c r="AG15" s="1"/>
      <c r="AH15" s="1"/>
      <c r="AI15" s="1"/>
      <c r="AJ15" s="1"/>
    </row>
    <row r="16" spans="1:36">
      <c r="A16" s="5"/>
      <c r="B16" s="5"/>
      <c r="C16" s="5"/>
      <c r="D16" s="5"/>
      <c r="E16" s="5"/>
      <c r="F16" s="5"/>
      <c r="G16" s="5"/>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row>
    <row r="17" spans="1:36">
      <c r="A17" s="5"/>
      <c r="B17" s="5"/>
      <c r="C17" s="5"/>
      <c r="D17" s="5"/>
      <c r="E17" s="5"/>
      <c r="F17" s="5"/>
      <c r="G17" s="5"/>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row>
    <row r="18" spans="1:36">
      <c r="A18" s="5"/>
      <c r="B18" s="33"/>
      <c r="C18" s="34"/>
      <c r="D18" s="33"/>
      <c r="E18" s="33"/>
      <c r="F18" s="33"/>
      <c r="G18" s="5"/>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row>
    <row r="19" spans="1:36">
      <c r="A19" s="5"/>
      <c r="B19" s="33"/>
      <c r="C19" s="33"/>
      <c r="D19" s="33"/>
      <c r="E19" s="33"/>
      <c r="F19" s="33"/>
      <c r="G19" s="5"/>
      <c r="H19" s="1"/>
      <c r="I19" s="1" t="s">
        <v>8</v>
      </c>
      <c r="J19" s="1"/>
      <c r="K19" s="1"/>
      <c r="L19" s="1"/>
      <c r="M19" s="1"/>
      <c r="N19" s="6">
        <v>0.1</v>
      </c>
      <c r="O19" s="1"/>
      <c r="P19" s="7">
        <v>0.1</v>
      </c>
      <c r="Q19" s="1"/>
      <c r="R19" s="1"/>
      <c r="S19" s="1"/>
      <c r="T19" s="1"/>
      <c r="U19" s="1"/>
      <c r="V19" s="1"/>
      <c r="W19" s="1"/>
      <c r="X19" s="1"/>
      <c r="Y19" s="1"/>
      <c r="Z19" s="1"/>
      <c r="AA19" s="1"/>
      <c r="AB19" s="1"/>
      <c r="AC19" s="1"/>
      <c r="AD19" s="1"/>
      <c r="AE19" s="1"/>
      <c r="AF19" s="1"/>
      <c r="AG19" s="1"/>
      <c r="AH19" s="1"/>
      <c r="AI19" s="1"/>
      <c r="AJ19" s="1"/>
    </row>
    <row r="20" spans="1:36">
      <c r="A20" s="8"/>
      <c r="B20" s="37" t="s">
        <v>9</v>
      </c>
      <c r="C20" s="37" t="s">
        <v>10</v>
      </c>
      <c r="D20" s="37" t="s">
        <v>11</v>
      </c>
      <c r="E20" s="35" t="s">
        <v>12</v>
      </c>
      <c r="F20" s="35" t="s">
        <v>13</v>
      </c>
      <c r="G20" s="5"/>
      <c r="H20" s="9" t="s">
        <v>14</v>
      </c>
      <c r="I20" s="9">
        <v>0.7</v>
      </c>
      <c r="J20" s="1"/>
      <c r="K20" s="1"/>
      <c r="L20" s="1"/>
      <c r="M20" s="1"/>
      <c r="N20" s="6">
        <v>0.1</v>
      </c>
      <c r="O20" s="6"/>
      <c r="P20" s="7">
        <v>0.2</v>
      </c>
      <c r="Q20" s="6"/>
      <c r="R20" s="1"/>
      <c r="S20" s="1"/>
      <c r="T20" s="1"/>
      <c r="U20" s="1"/>
      <c r="V20" s="1"/>
      <c r="W20" s="1"/>
      <c r="X20" s="1"/>
      <c r="Y20" s="1"/>
      <c r="Z20" s="1"/>
      <c r="AA20" s="1"/>
      <c r="AB20" s="1"/>
      <c r="AC20" s="1"/>
      <c r="AD20" s="1"/>
      <c r="AE20" s="1"/>
      <c r="AF20" s="1"/>
      <c r="AG20" s="1"/>
      <c r="AH20" s="1"/>
      <c r="AI20" s="1"/>
      <c r="AJ20" s="1"/>
    </row>
    <row r="21" spans="1:36" ht="15.75" customHeight="1">
      <c r="A21" s="6" t="s">
        <v>15</v>
      </c>
      <c r="B21" s="38">
        <v>28</v>
      </c>
      <c r="C21" s="39">
        <v>900</v>
      </c>
      <c r="D21" s="38">
        <f>B21*(1+I22)*I20</f>
        <v>27.439999999999994</v>
      </c>
      <c r="E21" s="36">
        <f t="shared" ref="E21:E25" si="0">D21-B21</f>
        <v>-0.56000000000000583</v>
      </c>
      <c r="F21" s="36">
        <f t="shared" ref="F21:F25" si="1">E21*C21</f>
        <v>-504.00000000000523</v>
      </c>
      <c r="G21" s="5"/>
      <c r="H21" s="1"/>
      <c r="J21" s="1"/>
      <c r="K21" s="1"/>
      <c r="L21" s="1"/>
      <c r="M21" s="1"/>
      <c r="N21" s="6">
        <v>0.2</v>
      </c>
      <c r="O21" s="6"/>
      <c r="P21" s="7">
        <v>0.3</v>
      </c>
      <c r="Q21" s="6"/>
      <c r="R21" s="1"/>
      <c r="S21" s="1"/>
      <c r="T21" s="1"/>
      <c r="U21" s="1"/>
      <c r="V21" s="1"/>
      <c r="W21" s="1"/>
      <c r="X21" s="1"/>
      <c r="Y21" s="1"/>
      <c r="Z21" s="1"/>
      <c r="AA21" s="1"/>
      <c r="AB21" s="1"/>
      <c r="AC21" s="1"/>
      <c r="AD21" s="1"/>
      <c r="AE21" s="1"/>
      <c r="AF21" s="1"/>
      <c r="AG21" s="1"/>
      <c r="AH21" s="1"/>
      <c r="AI21" s="1"/>
      <c r="AJ21" s="1"/>
    </row>
    <row r="22" spans="1:36" ht="15.75" customHeight="1">
      <c r="A22" s="6" t="s">
        <v>16</v>
      </c>
      <c r="B22" s="38">
        <v>32</v>
      </c>
      <c r="C22" s="39">
        <v>850</v>
      </c>
      <c r="D22" s="38">
        <f>B22*(1+I22)*I20</f>
        <v>31.359999999999996</v>
      </c>
      <c r="E22" s="36">
        <f t="shared" si="0"/>
        <v>-0.64000000000000412</v>
      </c>
      <c r="F22" s="36">
        <f t="shared" si="1"/>
        <v>-544.00000000000352</v>
      </c>
      <c r="G22" s="5"/>
      <c r="H22" s="9" t="s">
        <v>17</v>
      </c>
      <c r="I22" s="11">
        <v>0.4</v>
      </c>
      <c r="J22" s="1"/>
      <c r="K22" s="1"/>
      <c r="L22" s="1"/>
      <c r="M22" s="1"/>
      <c r="N22" s="6">
        <v>0.3</v>
      </c>
      <c r="O22" s="6"/>
      <c r="P22" s="7">
        <v>0.4</v>
      </c>
      <c r="Q22" s="6"/>
      <c r="R22" s="1"/>
      <c r="S22" s="1"/>
      <c r="T22" s="1"/>
      <c r="U22" s="1"/>
      <c r="V22" s="1"/>
      <c r="W22" s="1"/>
      <c r="X22" s="1"/>
      <c r="Y22" s="1"/>
      <c r="Z22" s="1"/>
      <c r="AA22" s="1"/>
      <c r="AB22" s="1"/>
      <c r="AC22" s="1"/>
      <c r="AD22" s="1"/>
      <c r="AE22" s="1"/>
      <c r="AF22" s="1"/>
      <c r="AG22" s="1"/>
      <c r="AH22" s="1"/>
      <c r="AI22" s="1"/>
      <c r="AJ22" s="1"/>
    </row>
    <row r="23" spans="1:36" ht="15.75" customHeight="1">
      <c r="A23" s="6" t="s">
        <v>18</v>
      </c>
      <c r="B23" s="38">
        <v>35</v>
      </c>
      <c r="C23" s="39">
        <v>875</v>
      </c>
      <c r="D23" s="38">
        <f>B23*(1+I22)*I20</f>
        <v>34.299999999999997</v>
      </c>
      <c r="E23" s="36">
        <f t="shared" si="0"/>
        <v>-0.70000000000000284</v>
      </c>
      <c r="F23" s="36">
        <f t="shared" si="1"/>
        <v>-612.5000000000025</v>
      </c>
      <c r="G23" s="5"/>
      <c r="H23" s="1"/>
      <c r="I23" s="1"/>
      <c r="J23" s="1"/>
      <c r="K23" s="1"/>
      <c r="L23" s="1"/>
      <c r="M23" s="1"/>
      <c r="N23" s="6">
        <v>0.4</v>
      </c>
      <c r="O23" s="6"/>
      <c r="P23" s="7">
        <v>0.5</v>
      </c>
      <c r="Q23" s="6"/>
      <c r="R23" s="1"/>
      <c r="S23" s="1"/>
      <c r="T23" s="1"/>
      <c r="U23" s="1"/>
      <c r="V23" s="1"/>
      <c r="W23" s="1"/>
      <c r="X23" s="1"/>
      <c r="Y23" s="1"/>
      <c r="Z23" s="1"/>
      <c r="AA23" s="1"/>
      <c r="AB23" s="1"/>
      <c r="AC23" s="1"/>
      <c r="AD23" s="1"/>
      <c r="AE23" s="1"/>
      <c r="AF23" s="1"/>
      <c r="AG23" s="1"/>
      <c r="AH23" s="1"/>
      <c r="AI23" s="1"/>
      <c r="AJ23" s="1"/>
    </row>
    <row r="24" spans="1:36" ht="15.75" customHeight="1">
      <c r="A24" s="6" t="s">
        <v>19</v>
      </c>
      <c r="B24" s="38">
        <v>29</v>
      </c>
      <c r="C24" s="39">
        <v>825</v>
      </c>
      <c r="D24" s="38">
        <f>B24*(1+I22)*I20</f>
        <v>28.419999999999995</v>
      </c>
      <c r="E24" s="36">
        <f t="shared" si="0"/>
        <v>-0.5800000000000054</v>
      </c>
      <c r="F24" s="36">
        <f t="shared" si="1"/>
        <v>-478.50000000000443</v>
      </c>
      <c r="G24" s="5"/>
      <c r="H24" s="1"/>
      <c r="I24" s="1"/>
      <c r="J24" s="1"/>
      <c r="K24" s="1"/>
      <c r="L24" s="1"/>
      <c r="M24" s="1"/>
      <c r="N24" s="6">
        <v>0.5</v>
      </c>
      <c r="O24" s="6"/>
      <c r="P24" s="7">
        <v>0.6</v>
      </c>
      <c r="Q24" s="6"/>
      <c r="R24" s="1"/>
      <c r="S24" s="1"/>
      <c r="T24" s="1"/>
      <c r="U24" s="1"/>
      <c r="V24" s="1"/>
      <c r="W24" s="1"/>
      <c r="X24" s="1"/>
      <c r="Y24" s="1"/>
      <c r="Z24" s="1"/>
      <c r="AA24" s="1"/>
      <c r="AB24" s="1"/>
      <c r="AC24" s="1"/>
      <c r="AD24" s="1"/>
      <c r="AE24" s="1"/>
      <c r="AF24" s="1"/>
      <c r="AG24" s="1"/>
      <c r="AH24" s="1"/>
      <c r="AI24" s="1"/>
      <c r="AJ24" s="1"/>
    </row>
    <row r="25" spans="1:36" ht="15.75" customHeight="1">
      <c r="A25" s="6" t="s">
        <v>20</v>
      </c>
      <c r="B25" s="38">
        <v>31</v>
      </c>
      <c r="C25" s="39">
        <v>700</v>
      </c>
      <c r="D25" s="38">
        <f>B25*(1+I22)*I20</f>
        <v>30.379999999999995</v>
      </c>
      <c r="E25" s="36">
        <f t="shared" si="0"/>
        <v>-0.62000000000000455</v>
      </c>
      <c r="F25" s="36">
        <f t="shared" si="1"/>
        <v>-434.00000000000318</v>
      </c>
      <c r="G25" s="5"/>
      <c r="H25" s="1"/>
      <c r="I25" s="1"/>
      <c r="J25" s="1"/>
      <c r="K25" s="1"/>
      <c r="L25" s="1"/>
      <c r="M25" s="1"/>
      <c r="N25" s="6">
        <v>0.6</v>
      </c>
      <c r="O25" s="6"/>
      <c r="P25" s="7">
        <v>0.7</v>
      </c>
      <c r="Q25" s="6"/>
      <c r="R25" s="1"/>
      <c r="S25" s="1"/>
      <c r="T25" s="1"/>
      <c r="U25" s="1"/>
      <c r="V25" s="1"/>
      <c r="W25" s="1"/>
      <c r="X25" s="1"/>
      <c r="Y25" s="1"/>
      <c r="Z25" s="1"/>
      <c r="AA25" s="1"/>
      <c r="AB25" s="1"/>
      <c r="AC25" s="1"/>
      <c r="AD25" s="1"/>
      <c r="AE25" s="1"/>
      <c r="AF25" s="1"/>
      <c r="AG25" s="1"/>
      <c r="AH25" s="1"/>
      <c r="AI25" s="1"/>
      <c r="AJ25" s="1"/>
    </row>
    <row r="26" spans="1:36" ht="15.75" customHeight="1">
      <c r="A26" s="6"/>
      <c r="B26" s="6"/>
      <c r="C26" s="6"/>
      <c r="D26" s="6"/>
      <c r="E26" s="6"/>
      <c r="F26" s="10">
        <f>SUM(F21:F25)</f>
        <v>-2573.0000000000186</v>
      </c>
      <c r="G26" s="1"/>
      <c r="H26" s="1"/>
      <c r="I26" s="1"/>
      <c r="J26" s="1"/>
      <c r="K26" s="1"/>
      <c r="L26" s="1"/>
      <c r="M26" s="1"/>
      <c r="N26" s="6">
        <v>0.7</v>
      </c>
      <c r="O26" s="6"/>
      <c r="P26" s="7">
        <v>0.8</v>
      </c>
      <c r="Q26" s="6"/>
      <c r="R26" s="1"/>
      <c r="S26" s="1"/>
      <c r="T26" s="1"/>
      <c r="U26" s="1"/>
      <c r="V26" s="1"/>
      <c r="W26" s="1"/>
      <c r="X26" s="1"/>
      <c r="Y26" s="1"/>
      <c r="Z26" s="1"/>
      <c r="AA26" s="1"/>
      <c r="AB26" s="1"/>
      <c r="AC26" s="1"/>
      <c r="AD26" s="1"/>
      <c r="AE26" s="1"/>
      <c r="AF26" s="1"/>
      <c r="AG26" s="1"/>
      <c r="AH26" s="1"/>
      <c r="AI26" s="1"/>
      <c r="AJ26" s="1"/>
    </row>
    <row r="27" spans="1:36" ht="15.75" customHeight="1">
      <c r="A27" s="1"/>
      <c r="B27" s="1"/>
      <c r="C27" s="1"/>
      <c r="D27" s="1"/>
      <c r="E27" s="1"/>
      <c r="F27" s="1"/>
      <c r="G27" s="1"/>
      <c r="H27" s="1"/>
      <c r="I27" s="1"/>
      <c r="J27" s="1"/>
      <c r="K27" s="1"/>
      <c r="L27" s="1"/>
      <c r="M27" s="1"/>
      <c r="N27" s="6">
        <v>0.8</v>
      </c>
      <c r="O27" s="6"/>
      <c r="P27" s="7">
        <v>0.9</v>
      </c>
      <c r="Q27" s="6"/>
      <c r="R27" s="1"/>
      <c r="S27" s="1"/>
      <c r="T27" s="1"/>
      <c r="U27" s="1"/>
      <c r="V27" s="1"/>
      <c r="W27" s="1"/>
      <c r="X27" s="1"/>
      <c r="Y27" s="1"/>
      <c r="Z27" s="1"/>
      <c r="AA27" s="1"/>
      <c r="AB27" s="1"/>
      <c r="AC27" s="1"/>
      <c r="AD27" s="1"/>
      <c r="AE27" s="1"/>
      <c r="AF27" s="1"/>
      <c r="AG27" s="1"/>
      <c r="AH27" s="1"/>
      <c r="AI27" s="1"/>
      <c r="AJ27" s="1"/>
    </row>
    <row r="28" spans="1:36" ht="15.75" customHeight="1">
      <c r="A28" s="12" t="s">
        <v>21</v>
      </c>
      <c r="B28" s="12" t="s">
        <v>22</v>
      </c>
      <c r="C28" s="12" t="s">
        <v>10</v>
      </c>
      <c r="D28" s="12" t="s">
        <v>23</v>
      </c>
      <c r="E28" s="12" t="s">
        <v>24</v>
      </c>
      <c r="F28" s="12" t="s">
        <v>13</v>
      </c>
      <c r="G28" s="1"/>
      <c r="H28" s="1"/>
      <c r="I28" s="1"/>
      <c r="J28" s="1"/>
      <c r="K28" s="1"/>
      <c r="L28" s="1"/>
      <c r="M28" s="1"/>
      <c r="N28" s="6">
        <v>0.9</v>
      </c>
      <c r="O28" s="6"/>
      <c r="P28" s="7"/>
      <c r="Q28" s="6"/>
      <c r="R28" s="1"/>
      <c r="S28" s="1"/>
      <c r="T28" s="1"/>
      <c r="U28" s="1"/>
      <c r="V28" s="1"/>
      <c r="W28" s="1"/>
      <c r="X28" s="1"/>
      <c r="Y28" s="1"/>
      <c r="Z28" s="1"/>
      <c r="AA28" s="1"/>
      <c r="AB28" s="1"/>
      <c r="AC28" s="1"/>
      <c r="AD28" s="1"/>
      <c r="AE28" s="1"/>
      <c r="AF28" s="1"/>
      <c r="AG28" s="1"/>
      <c r="AH28" s="1"/>
      <c r="AI28" s="1"/>
      <c r="AJ28" s="1"/>
    </row>
    <row r="29" spans="1:36" ht="15.75" customHeight="1">
      <c r="A29" s="13" t="s">
        <v>15</v>
      </c>
      <c r="B29" s="14">
        <v>19.600000000000001</v>
      </c>
      <c r="C29" s="13">
        <v>900</v>
      </c>
      <c r="D29" s="14">
        <f>B21*(1+I22)*I20</f>
        <v>27.439999999999994</v>
      </c>
      <c r="E29" s="14">
        <f t="shared" ref="E29:E33" si="2">D29-B29</f>
        <v>7.8399999999999928</v>
      </c>
      <c r="F29" s="14">
        <f t="shared" ref="F29:F33" si="3">E29*C29</f>
        <v>7055.9999999999936</v>
      </c>
      <c r="G29" s="1"/>
      <c r="H29" s="1"/>
      <c r="I29" s="1"/>
      <c r="J29" s="1"/>
      <c r="K29" s="1"/>
      <c r="L29" s="1"/>
      <c r="M29" s="1"/>
      <c r="N29" s="6">
        <v>1</v>
      </c>
      <c r="O29" s="6"/>
      <c r="P29" s="6"/>
      <c r="Q29" s="6"/>
      <c r="R29" s="1"/>
      <c r="S29" s="1"/>
      <c r="T29" s="1"/>
      <c r="U29" s="1"/>
      <c r="V29" s="1"/>
      <c r="W29" s="1"/>
      <c r="X29" s="1"/>
      <c r="Y29" s="1"/>
      <c r="Z29" s="1"/>
      <c r="AA29" s="1"/>
      <c r="AB29" s="1"/>
      <c r="AC29" s="1"/>
      <c r="AD29" s="1"/>
      <c r="AE29" s="1"/>
      <c r="AF29" s="1"/>
      <c r="AG29" s="1"/>
      <c r="AH29" s="1"/>
      <c r="AI29" s="1"/>
      <c r="AJ29" s="1"/>
    </row>
    <row r="30" spans="1:36" ht="15.75" customHeight="1">
      <c r="A30" s="13" t="s">
        <v>16</v>
      </c>
      <c r="B30" s="14">
        <v>22.4</v>
      </c>
      <c r="C30" s="13">
        <v>850</v>
      </c>
      <c r="D30" s="14">
        <f>B22*(1+I22)*I20</f>
        <v>31.359999999999996</v>
      </c>
      <c r="E30" s="14">
        <f t="shared" si="2"/>
        <v>8.9599999999999973</v>
      </c>
      <c r="F30" s="14">
        <f t="shared" si="3"/>
        <v>7615.9999999999973</v>
      </c>
      <c r="G30" s="1"/>
      <c r="H30" s="1"/>
      <c r="I30" s="1"/>
      <c r="J30" s="1"/>
      <c r="K30" s="1"/>
      <c r="L30" s="1"/>
      <c r="M30" s="1"/>
      <c r="N30" s="6">
        <v>1.1000000000000001</v>
      </c>
      <c r="O30" s="6"/>
      <c r="P30" s="6"/>
      <c r="Q30" s="6"/>
      <c r="R30" s="1"/>
      <c r="S30" s="1"/>
      <c r="T30" s="1"/>
      <c r="U30" s="1"/>
      <c r="V30" s="1"/>
      <c r="W30" s="1"/>
      <c r="X30" s="1"/>
      <c r="Y30" s="1"/>
      <c r="Z30" s="1"/>
      <c r="AA30" s="1"/>
      <c r="AB30" s="1"/>
      <c r="AC30" s="1"/>
      <c r="AD30" s="1"/>
      <c r="AE30" s="1"/>
      <c r="AF30" s="1"/>
      <c r="AG30" s="1"/>
      <c r="AH30" s="1"/>
      <c r="AI30" s="1"/>
      <c r="AJ30" s="1"/>
    </row>
    <row r="31" spans="1:36" ht="15.75" customHeight="1">
      <c r="A31" s="1" t="s">
        <v>18</v>
      </c>
      <c r="B31" s="14">
        <v>24.5</v>
      </c>
      <c r="C31" s="13">
        <v>875</v>
      </c>
      <c r="D31" s="14">
        <f>B23*(1+I22)*I20</f>
        <v>34.299999999999997</v>
      </c>
      <c r="E31" s="14">
        <f t="shared" si="2"/>
        <v>9.7999999999999972</v>
      </c>
      <c r="F31" s="14">
        <f t="shared" si="3"/>
        <v>8574.9999999999982</v>
      </c>
      <c r="G31" s="1"/>
      <c r="H31" s="1"/>
      <c r="I31" s="1"/>
      <c r="J31" s="1"/>
      <c r="K31" s="1"/>
      <c r="L31" s="1"/>
      <c r="M31" s="1"/>
      <c r="N31" s="6">
        <v>1.2</v>
      </c>
      <c r="O31" s="6"/>
      <c r="P31" s="6"/>
      <c r="Q31" s="6"/>
      <c r="R31" s="1"/>
      <c r="S31" s="1"/>
      <c r="T31" s="1"/>
      <c r="U31" s="1"/>
      <c r="V31" s="1"/>
      <c r="W31" s="1"/>
      <c r="X31" s="1"/>
      <c r="Y31" s="1"/>
      <c r="Z31" s="1"/>
      <c r="AA31" s="1"/>
      <c r="AB31" s="1"/>
      <c r="AC31" s="1"/>
      <c r="AD31" s="1"/>
      <c r="AE31" s="1"/>
      <c r="AF31" s="1"/>
      <c r="AG31" s="1"/>
      <c r="AH31" s="1"/>
      <c r="AI31" s="1"/>
      <c r="AJ31" s="1"/>
    </row>
    <row r="32" spans="1:36" ht="15.75" customHeight="1">
      <c r="A32" s="13" t="s">
        <v>19</v>
      </c>
      <c r="B32" s="14">
        <v>20.3</v>
      </c>
      <c r="C32" s="13">
        <v>825</v>
      </c>
      <c r="D32" s="14">
        <f>B24*(1+I22)*I20</f>
        <v>28.419999999999995</v>
      </c>
      <c r="E32" s="14">
        <f t="shared" si="2"/>
        <v>8.1199999999999939</v>
      </c>
      <c r="F32" s="14">
        <f t="shared" si="3"/>
        <v>6698.9999999999945</v>
      </c>
      <c r="G32" s="1"/>
      <c r="H32" s="1"/>
      <c r="I32" s="1"/>
      <c r="J32" s="1"/>
      <c r="K32" s="1"/>
      <c r="L32" s="1"/>
      <c r="M32" s="1"/>
      <c r="N32" s="6">
        <v>1.3</v>
      </c>
      <c r="O32" s="6"/>
      <c r="P32" s="6"/>
      <c r="Q32" s="6"/>
      <c r="R32" s="1"/>
      <c r="S32" s="1"/>
      <c r="T32" s="1"/>
      <c r="U32" s="1"/>
      <c r="V32" s="1"/>
      <c r="W32" s="1"/>
      <c r="X32" s="1"/>
      <c r="Y32" s="1"/>
      <c r="Z32" s="1"/>
      <c r="AA32" s="1"/>
      <c r="AB32" s="1"/>
      <c r="AC32" s="1"/>
      <c r="AD32" s="1"/>
      <c r="AE32" s="1"/>
      <c r="AF32" s="1"/>
      <c r="AG32" s="1"/>
      <c r="AH32" s="1"/>
      <c r="AI32" s="1"/>
      <c r="AJ32" s="1"/>
    </row>
    <row r="33" spans="1:36" ht="15.75" customHeight="1">
      <c r="A33" s="13" t="s">
        <v>20</v>
      </c>
      <c r="B33" s="14">
        <v>21.7</v>
      </c>
      <c r="C33" s="13">
        <v>700</v>
      </c>
      <c r="D33" s="14">
        <f>B25*(1+I22)*I20</f>
        <v>30.379999999999995</v>
      </c>
      <c r="E33" s="14">
        <f t="shared" si="2"/>
        <v>8.6799999999999962</v>
      </c>
      <c r="F33" s="14">
        <f t="shared" si="3"/>
        <v>6075.9999999999973</v>
      </c>
      <c r="G33" s="1"/>
      <c r="H33" s="1"/>
      <c r="I33" s="1"/>
      <c r="J33" s="1"/>
      <c r="K33" s="1"/>
      <c r="L33" s="1"/>
      <c r="M33" s="1"/>
      <c r="N33" s="6">
        <v>1.4</v>
      </c>
      <c r="O33" s="6"/>
      <c r="P33" s="6"/>
      <c r="Q33" s="6"/>
      <c r="R33" s="1"/>
      <c r="S33" s="1"/>
      <c r="T33" s="1"/>
      <c r="U33" s="1"/>
      <c r="V33" s="1"/>
      <c r="W33" s="1"/>
      <c r="X33" s="1"/>
      <c r="Y33" s="1"/>
      <c r="Z33" s="1"/>
      <c r="AA33" s="1"/>
      <c r="AB33" s="1"/>
      <c r="AC33" s="1"/>
      <c r="AD33" s="1"/>
      <c r="AE33" s="1"/>
      <c r="AF33" s="1"/>
      <c r="AG33" s="1"/>
      <c r="AH33" s="1"/>
      <c r="AI33" s="1"/>
      <c r="AJ33" s="1"/>
    </row>
    <row r="34" spans="1:36" ht="15.75" customHeight="1">
      <c r="A34" s="1"/>
      <c r="B34" s="1"/>
      <c r="C34" s="1"/>
      <c r="D34" s="1"/>
      <c r="E34" s="1"/>
      <c r="F34" s="15">
        <f>SUM(F29:F33)</f>
        <v>36021.999999999985</v>
      </c>
      <c r="G34" s="1"/>
      <c r="H34" s="1"/>
      <c r="I34" s="1"/>
      <c r="J34" s="1"/>
      <c r="K34" s="1"/>
      <c r="L34" s="1"/>
      <c r="M34" s="1"/>
      <c r="N34" s="6">
        <v>1.5</v>
      </c>
      <c r="O34" s="6"/>
      <c r="P34" s="6"/>
      <c r="Q34" s="6"/>
      <c r="R34" s="1"/>
      <c r="S34" s="1"/>
      <c r="T34" s="1"/>
      <c r="U34" s="1"/>
      <c r="V34" s="1"/>
      <c r="W34" s="1"/>
      <c r="X34" s="1"/>
      <c r="Y34" s="1"/>
      <c r="Z34" s="1"/>
      <c r="AA34" s="1"/>
      <c r="AB34" s="1"/>
      <c r="AC34" s="1"/>
      <c r="AD34" s="1"/>
      <c r="AE34" s="1"/>
      <c r="AF34" s="1"/>
      <c r="AG34" s="1"/>
      <c r="AH34" s="1"/>
      <c r="AI34" s="1"/>
      <c r="AJ34" s="1"/>
    </row>
    <row r="35" spans="1:36" ht="15.75" customHeight="1">
      <c r="A35" s="1"/>
      <c r="B35" s="1"/>
      <c r="C35" s="1"/>
      <c r="D35" s="1"/>
      <c r="E35" s="1"/>
      <c r="F35" s="1"/>
      <c r="G35" s="1"/>
      <c r="H35" s="1"/>
      <c r="I35" s="1"/>
      <c r="J35" s="1"/>
      <c r="K35" s="1"/>
      <c r="L35" s="1"/>
      <c r="M35" s="1"/>
      <c r="N35" s="6">
        <v>1.6</v>
      </c>
      <c r="O35" s="6"/>
      <c r="P35" s="6"/>
      <c r="Q35" s="6"/>
      <c r="R35" s="1"/>
      <c r="S35" s="1"/>
      <c r="T35" s="1"/>
      <c r="U35" s="1"/>
      <c r="V35" s="1"/>
      <c r="W35" s="1"/>
      <c r="X35" s="1"/>
      <c r="Y35" s="1"/>
      <c r="Z35" s="1"/>
      <c r="AA35" s="1"/>
      <c r="AB35" s="1"/>
      <c r="AC35" s="1"/>
      <c r="AD35" s="1"/>
      <c r="AE35" s="1"/>
      <c r="AF35" s="1"/>
      <c r="AG35" s="1"/>
      <c r="AH35" s="1"/>
      <c r="AI35" s="1"/>
      <c r="AJ35" s="1"/>
    </row>
    <row r="36" spans="1:36" ht="15.75" customHeight="1">
      <c r="A36" s="1"/>
      <c r="B36" s="1"/>
      <c r="C36" s="1"/>
      <c r="D36" s="1"/>
      <c r="E36" s="1"/>
      <c r="F36" s="1"/>
      <c r="G36" s="1"/>
      <c r="H36" s="1"/>
      <c r="I36" s="1"/>
      <c r="J36" s="1"/>
      <c r="K36" s="1"/>
      <c r="L36" s="1"/>
      <c r="M36" s="1"/>
      <c r="N36" s="6">
        <v>1.7</v>
      </c>
      <c r="O36" s="6"/>
      <c r="P36" s="6"/>
      <c r="Q36" s="6"/>
      <c r="R36" s="1"/>
      <c r="S36" s="1"/>
      <c r="T36" s="1"/>
      <c r="U36" s="1"/>
      <c r="V36" s="1"/>
      <c r="W36" s="1"/>
      <c r="X36" s="1"/>
      <c r="Y36" s="1"/>
      <c r="Z36" s="1"/>
      <c r="AA36" s="1"/>
      <c r="AB36" s="1"/>
      <c r="AC36" s="1"/>
      <c r="AD36" s="1"/>
      <c r="AE36" s="1"/>
      <c r="AF36" s="1"/>
      <c r="AG36" s="1"/>
      <c r="AH36" s="1"/>
      <c r="AI36" s="1"/>
      <c r="AJ36" s="1"/>
    </row>
    <row r="37" spans="1:36" ht="15.75" customHeight="1">
      <c r="A37" s="1"/>
      <c r="B37" s="1"/>
      <c r="C37" s="1"/>
      <c r="D37" s="1"/>
      <c r="E37" s="1"/>
      <c r="F37" s="1"/>
      <c r="G37" s="1"/>
      <c r="H37" s="1"/>
      <c r="I37" s="1"/>
      <c r="J37" s="1"/>
      <c r="K37" s="1"/>
      <c r="L37" s="1"/>
      <c r="M37" s="1"/>
      <c r="N37" s="6">
        <v>1.8</v>
      </c>
      <c r="O37" s="6"/>
      <c r="P37" s="6"/>
      <c r="Q37" s="6"/>
      <c r="R37" s="1"/>
      <c r="S37" s="1"/>
      <c r="T37" s="1"/>
      <c r="U37" s="1"/>
      <c r="V37" s="1"/>
      <c r="W37" s="1"/>
      <c r="X37" s="1"/>
      <c r="Y37" s="1"/>
      <c r="Z37" s="1"/>
      <c r="AA37" s="1"/>
      <c r="AB37" s="1"/>
      <c r="AC37" s="1"/>
      <c r="AD37" s="1"/>
      <c r="AE37" s="1"/>
      <c r="AF37" s="1"/>
      <c r="AG37" s="1"/>
      <c r="AH37" s="1"/>
      <c r="AI37" s="1"/>
      <c r="AJ37" s="1"/>
    </row>
    <row r="38" spans="1:36" ht="15.75" customHeight="1">
      <c r="A38" s="1"/>
      <c r="B38" s="1"/>
      <c r="C38" s="1"/>
      <c r="D38" s="1"/>
      <c r="E38" s="1"/>
      <c r="F38" s="1"/>
      <c r="G38" s="1"/>
      <c r="H38" s="1"/>
      <c r="I38" s="1"/>
      <c r="J38" s="1"/>
      <c r="K38" s="1"/>
      <c r="L38" s="1"/>
      <c r="M38" s="1"/>
      <c r="N38" s="6">
        <v>1.9</v>
      </c>
      <c r="O38" s="6"/>
      <c r="P38" s="6"/>
      <c r="Q38" s="6"/>
      <c r="R38" s="1"/>
      <c r="S38" s="1"/>
      <c r="T38" s="1"/>
      <c r="U38" s="1"/>
      <c r="V38" s="1"/>
      <c r="W38" s="1"/>
      <c r="X38" s="1"/>
      <c r="Y38" s="1"/>
      <c r="Z38" s="1"/>
      <c r="AA38" s="1"/>
      <c r="AB38" s="1"/>
      <c r="AC38" s="1"/>
      <c r="AD38" s="1"/>
      <c r="AE38" s="1"/>
      <c r="AF38" s="1"/>
      <c r="AG38" s="1"/>
      <c r="AH38" s="1"/>
      <c r="AI38" s="1"/>
      <c r="AJ38" s="1"/>
    </row>
    <row r="39" spans="1:36" ht="15.75" customHeight="1">
      <c r="A39" s="1"/>
      <c r="B39" s="1"/>
      <c r="C39" s="1"/>
      <c r="D39" s="1"/>
      <c r="E39" s="1"/>
      <c r="F39" s="1"/>
      <c r="G39" s="1"/>
      <c r="H39" s="1"/>
      <c r="I39" s="1"/>
      <c r="J39" s="1"/>
      <c r="K39" s="1"/>
      <c r="L39" s="1"/>
      <c r="M39" s="1"/>
      <c r="N39" s="6">
        <v>2</v>
      </c>
      <c r="O39" s="6"/>
      <c r="P39" s="6"/>
      <c r="Q39" s="6"/>
      <c r="R39" s="1"/>
      <c r="S39" s="1"/>
      <c r="T39" s="1"/>
      <c r="U39" s="1"/>
      <c r="V39" s="1"/>
      <c r="W39" s="1"/>
      <c r="X39" s="1"/>
      <c r="Y39" s="1"/>
      <c r="Z39" s="1"/>
      <c r="AA39" s="1"/>
      <c r="AB39" s="1"/>
      <c r="AC39" s="1"/>
      <c r="AD39" s="1"/>
      <c r="AE39" s="1"/>
      <c r="AF39" s="1"/>
      <c r="AG39" s="1"/>
      <c r="AH39" s="1"/>
      <c r="AI39" s="1"/>
      <c r="AJ39" s="1"/>
    </row>
    <row r="40" spans="1:36" ht="15.75" customHeight="1">
      <c r="A40" s="1"/>
      <c r="B40" s="1"/>
      <c r="C40" s="1"/>
      <c r="D40" s="1"/>
      <c r="E40" s="1"/>
      <c r="F40" s="1"/>
      <c r="G40" s="1"/>
      <c r="H40" s="1"/>
      <c r="I40" s="1"/>
      <c r="J40" s="1"/>
      <c r="K40" s="1"/>
      <c r="L40" s="1"/>
      <c r="M40" s="1"/>
      <c r="N40" s="6">
        <v>2.1</v>
      </c>
      <c r="O40" s="6"/>
      <c r="P40" s="6"/>
      <c r="Q40" s="6"/>
      <c r="R40" s="1"/>
      <c r="S40" s="1"/>
      <c r="T40" s="1"/>
      <c r="U40" s="1"/>
      <c r="V40" s="1"/>
      <c r="W40" s="1"/>
      <c r="X40" s="1"/>
      <c r="Y40" s="1"/>
      <c r="Z40" s="1"/>
      <c r="AA40" s="1"/>
      <c r="AB40" s="1"/>
      <c r="AC40" s="1"/>
      <c r="AD40" s="1"/>
      <c r="AE40" s="1"/>
      <c r="AF40" s="1"/>
      <c r="AG40" s="1"/>
      <c r="AH40" s="1"/>
      <c r="AI40" s="1"/>
      <c r="AJ40" s="1"/>
    </row>
    <row r="41" spans="1:36" ht="15.75" customHeight="1">
      <c r="A41" s="1"/>
      <c r="B41" s="1"/>
      <c r="C41" s="1"/>
      <c r="D41" s="1"/>
      <c r="E41" s="1"/>
      <c r="F41" s="1"/>
      <c r="G41" s="1"/>
      <c r="H41" s="1"/>
      <c r="I41" s="1"/>
      <c r="J41" s="1"/>
      <c r="K41" s="1"/>
      <c r="L41" s="1"/>
      <c r="M41" s="1"/>
      <c r="N41" s="6">
        <v>2.2000000000000002</v>
      </c>
      <c r="O41" s="6"/>
      <c r="P41" s="6"/>
      <c r="Q41" s="6"/>
      <c r="R41" s="1"/>
      <c r="S41" s="1"/>
      <c r="T41" s="1"/>
      <c r="U41" s="1"/>
      <c r="V41" s="1"/>
      <c r="W41" s="1"/>
      <c r="X41" s="1"/>
      <c r="Y41" s="1"/>
      <c r="Z41" s="1"/>
      <c r="AA41" s="1"/>
      <c r="AB41" s="1"/>
      <c r="AC41" s="1"/>
      <c r="AD41" s="1"/>
      <c r="AE41" s="1"/>
      <c r="AF41" s="1"/>
      <c r="AG41" s="1"/>
      <c r="AH41" s="1"/>
      <c r="AI41" s="1"/>
      <c r="AJ41" s="1"/>
    </row>
    <row r="42" spans="1:36" ht="15.75" customHeight="1">
      <c r="A42" s="1"/>
      <c r="B42" s="1"/>
      <c r="C42" s="1"/>
      <c r="D42" s="1"/>
      <c r="E42" s="1"/>
      <c r="F42" s="1"/>
      <c r="G42" s="1"/>
      <c r="H42" s="1"/>
      <c r="I42" s="1"/>
      <c r="J42" s="1"/>
      <c r="K42" s="1"/>
      <c r="L42" s="1"/>
      <c r="M42" s="1"/>
      <c r="N42" s="6">
        <v>2.2999999999999998</v>
      </c>
      <c r="O42" s="6"/>
      <c r="P42" s="6"/>
      <c r="Q42" s="6"/>
      <c r="R42" s="1"/>
      <c r="S42" s="1"/>
      <c r="T42" s="1"/>
      <c r="U42" s="1"/>
      <c r="V42" s="1"/>
      <c r="W42" s="1"/>
      <c r="X42" s="1"/>
      <c r="Y42" s="1"/>
      <c r="Z42" s="1"/>
      <c r="AA42" s="1"/>
      <c r="AB42" s="1"/>
      <c r="AC42" s="1"/>
      <c r="AD42" s="1"/>
      <c r="AE42" s="1"/>
      <c r="AF42" s="1"/>
      <c r="AG42" s="1"/>
      <c r="AH42" s="1"/>
      <c r="AI42" s="1"/>
      <c r="AJ42" s="1"/>
    </row>
    <row r="43" spans="1:36" ht="15.75" customHeight="1">
      <c r="A43" s="1"/>
      <c r="B43" s="1"/>
      <c r="C43" s="1"/>
      <c r="D43" s="1"/>
      <c r="E43" s="1"/>
      <c r="F43" s="1"/>
      <c r="G43" s="1"/>
      <c r="H43" s="1"/>
      <c r="I43" s="1"/>
      <c r="J43" s="1"/>
      <c r="K43" s="1"/>
      <c r="L43" s="1"/>
      <c r="M43" s="1"/>
      <c r="N43" s="6">
        <v>2.4</v>
      </c>
      <c r="O43" s="6"/>
      <c r="P43" s="6"/>
      <c r="Q43" s="6"/>
      <c r="R43" s="1"/>
      <c r="S43" s="1"/>
      <c r="T43" s="1"/>
      <c r="U43" s="1"/>
      <c r="V43" s="1"/>
      <c r="W43" s="1"/>
      <c r="X43" s="1"/>
      <c r="Y43" s="1"/>
      <c r="Z43" s="1"/>
      <c r="AA43" s="1"/>
      <c r="AB43" s="1"/>
      <c r="AC43" s="1"/>
      <c r="AD43" s="1"/>
      <c r="AE43" s="1"/>
      <c r="AF43" s="1"/>
      <c r="AG43" s="1"/>
      <c r="AH43" s="1"/>
      <c r="AI43" s="1"/>
      <c r="AJ43" s="1"/>
    </row>
    <row r="44" spans="1:36" ht="15.75" customHeight="1">
      <c r="A44" s="1"/>
      <c r="B44" s="1"/>
      <c r="C44" s="1"/>
      <c r="D44" s="1"/>
      <c r="E44" s="1"/>
      <c r="F44" s="1"/>
      <c r="G44" s="1"/>
      <c r="H44" s="1"/>
      <c r="I44" s="1"/>
      <c r="J44" s="1"/>
      <c r="K44" s="1"/>
      <c r="L44" s="1"/>
      <c r="M44" s="1"/>
      <c r="N44" s="6">
        <v>2.5</v>
      </c>
      <c r="O44" s="6"/>
      <c r="P44" s="6"/>
      <c r="Q44" s="6"/>
      <c r="R44" s="1"/>
      <c r="S44" s="1"/>
      <c r="T44" s="1"/>
      <c r="U44" s="1"/>
      <c r="V44" s="1"/>
      <c r="W44" s="1"/>
      <c r="X44" s="1"/>
      <c r="Y44" s="1"/>
      <c r="Z44" s="1"/>
      <c r="AA44" s="1"/>
      <c r="AB44" s="1"/>
      <c r="AC44" s="1"/>
      <c r="AD44" s="1"/>
      <c r="AE44" s="1"/>
      <c r="AF44" s="1"/>
      <c r="AG44" s="1"/>
      <c r="AH44" s="1"/>
      <c r="AI44" s="1"/>
      <c r="AJ44" s="1"/>
    </row>
    <row r="45" spans="1:36" ht="15.75" customHeight="1">
      <c r="A45" s="1"/>
      <c r="B45" s="1"/>
      <c r="C45" s="1"/>
      <c r="D45" s="1"/>
      <c r="E45" s="1"/>
      <c r="F45" s="1"/>
      <c r="G45" s="1"/>
      <c r="H45" s="1"/>
      <c r="I45" s="1"/>
      <c r="J45" s="1"/>
      <c r="K45" s="1"/>
      <c r="L45" s="1"/>
      <c r="M45" s="1"/>
      <c r="N45" s="6"/>
      <c r="O45" s="6"/>
      <c r="P45" s="6"/>
      <c r="Q45" s="6"/>
      <c r="R45" s="1"/>
      <c r="S45" s="1"/>
      <c r="T45" s="1"/>
      <c r="U45" s="1"/>
      <c r="V45" s="1"/>
      <c r="W45" s="1"/>
      <c r="X45" s="1"/>
      <c r="Y45" s="1"/>
      <c r="Z45" s="1"/>
      <c r="AA45" s="1"/>
      <c r="AB45" s="1"/>
      <c r="AC45" s="1"/>
      <c r="AD45" s="1"/>
      <c r="AE45" s="1"/>
      <c r="AF45" s="1"/>
      <c r="AG45" s="1"/>
      <c r="AH45" s="1"/>
      <c r="AI45" s="1"/>
      <c r="AJ45" s="1"/>
    </row>
    <row r="46" spans="1:36" ht="15.75" customHeight="1">
      <c r="A46" s="1"/>
      <c r="B46" s="1"/>
      <c r="C46" s="1"/>
      <c r="D46" s="1"/>
      <c r="E46" s="1"/>
      <c r="F46" s="1"/>
      <c r="G46" s="1"/>
      <c r="H46" s="1"/>
      <c r="I46" s="1"/>
      <c r="J46" s="1"/>
      <c r="K46" s="1"/>
      <c r="L46" s="1"/>
      <c r="M46" s="1"/>
      <c r="N46" s="6"/>
      <c r="O46" s="6"/>
      <c r="P46" s="6"/>
      <c r="Q46" s="6"/>
      <c r="R46" s="1"/>
      <c r="S46" s="1"/>
      <c r="T46" s="1"/>
      <c r="U46" s="1"/>
      <c r="V46" s="1"/>
      <c r="W46" s="1"/>
      <c r="X46" s="1"/>
      <c r="Y46" s="1"/>
      <c r="Z46" s="1"/>
      <c r="AA46" s="1"/>
      <c r="AB46" s="1"/>
      <c r="AC46" s="1"/>
      <c r="AD46" s="1"/>
      <c r="AE46" s="1"/>
      <c r="AF46" s="1"/>
      <c r="AG46" s="1"/>
      <c r="AH46" s="1"/>
      <c r="AI46" s="1"/>
      <c r="AJ46" s="1"/>
    </row>
    <row r="47" spans="1:36"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row>
    <row r="48" spans="1:36"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row>
    <row r="49" spans="1:36"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row>
    <row r="50" spans="1:36"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row>
    <row r="52" spans="1:36"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row>
    <row r="53" spans="1:36"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row>
    <row r="54" spans="1:36"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row>
    <row r="55" spans="1:36"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row>
    <row r="56" spans="1:3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row>
    <row r="57" spans="1:36"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row>
    <row r="58" spans="1:36"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row>
    <row r="59" spans="1:36"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row>
    <row r="60" spans="1:36"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row>
    <row r="61" spans="1:36"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row>
    <row r="62" spans="1:36"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row>
    <row r="63" spans="1:36"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row>
    <row r="64" spans="1:36"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row>
    <row r="65" spans="1:36"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row>
    <row r="66" spans="1:3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row>
    <row r="67" spans="1:36"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row>
    <row r="68" spans="1:36"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row>
    <row r="69" spans="1:36"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row>
    <row r="70" spans="1:36"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row>
    <row r="71" spans="1:36"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row>
    <row r="72" spans="1:36"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row>
    <row r="73" spans="1:36"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row>
    <row r="74" spans="1:36" ht="15.75" customHeight="1"/>
    <row r="75" spans="1:36" ht="15.75" customHeight="1"/>
    <row r="76" spans="1:36" ht="15.75" customHeight="1"/>
    <row r="77" spans="1:36" ht="15.75" customHeight="1"/>
    <row r="78" spans="1:36" ht="15.75" customHeight="1"/>
    <row r="79" spans="1:36" ht="15.75" customHeight="1"/>
    <row r="80" spans="1:36"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4">
    <mergeCell ref="I2:J2"/>
    <mergeCell ref="A13:D13"/>
    <mergeCell ref="A15:C15"/>
    <mergeCell ref="E15:G15"/>
  </mergeCells>
  <dataValidations count="2">
    <dataValidation type="list" allowBlank="1" showErrorMessage="1" sqref="I20" xr:uid="{00000000-0002-0000-0100-000000000000}">
      <formula1>$N$19:$N$39</formula1>
    </dataValidation>
    <dataValidation type="list" allowBlank="1" showErrorMessage="1" sqref="I22" xr:uid="{00000000-0002-0000-0100-000001000000}">
      <formula1>$P$19:$P$27</formula1>
    </dataValidation>
  </dataValidations>
  <pageMargins left="0.7" right="0.7" top="0.75" bottom="0.75" header="0" footer="0"/>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1000"/>
  <sheetViews>
    <sheetView showGridLines="0" topLeftCell="A3" zoomScale="70" zoomScaleNormal="70" workbookViewId="0">
      <selection activeCell="K20" sqref="K20"/>
    </sheetView>
  </sheetViews>
  <sheetFormatPr baseColWidth="10" defaultColWidth="14.5" defaultRowHeight="15" customHeight="1"/>
  <cols>
    <col min="1" max="1" width="18.1640625" customWidth="1"/>
    <col min="2" max="2" width="29.83203125" customWidth="1"/>
    <col min="3" max="3" width="21.5" customWidth="1"/>
    <col min="4" max="4" width="28.83203125" customWidth="1"/>
    <col min="5" max="5" width="31.83203125" customWidth="1"/>
    <col min="6" max="6" width="21.33203125" customWidth="1"/>
    <col min="7" max="7" width="15.5" customWidth="1"/>
    <col min="8" max="8" width="16.83203125" customWidth="1"/>
    <col min="9" max="9" width="16.5" customWidth="1"/>
    <col min="10" max="10" width="15.5" customWidth="1"/>
    <col min="11" max="11" width="15.83203125" customWidth="1"/>
    <col min="12" max="12" width="13.1640625" customWidth="1"/>
    <col min="13" max="13" width="14.5" customWidth="1"/>
    <col min="14" max="14" width="12.5" customWidth="1"/>
    <col min="15" max="33" width="8.6640625" customWidth="1"/>
  </cols>
  <sheetData>
    <row r="1" spans="1:33">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row>
    <row r="2" spans="1:33" ht="23.25" customHeight="1">
      <c r="A2" s="1"/>
      <c r="B2" s="1"/>
      <c r="D2" s="1"/>
      <c r="E2" s="1"/>
      <c r="F2" s="1"/>
      <c r="G2" s="1"/>
      <c r="H2" s="1"/>
      <c r="I2" s="75" t="s">
        <v>25</v>
      </c>
      <c r="J2" s="69"/>
      <c r="K2" s="26"/>
      <c r="L2" s="26"/>
      <c r="M2" s="26"/>
      <c r="N2" s="26"/>
      <c r="O2" s="26"/>
      <c r="P2" s="1"/>
      <c r="Q2" s="1"/>
      <c r="R2" s="1"/>
      <c r="S2" s="1"/>
      <c r="T2" s="1"/>
      <c r="U2" s="1"/>
      <c r="V2" s="1"/>
      <c r="W2" s="1"/>
      <c r="X2" s="1"/>
      <c r="Y2" s="1"/>
      <c r="Z2" s="1"/>
      <c r="AA2" s="1"/>
      <c r="AB2" s="1"/>
      <c r="AC2" s="1"/>
      <c r="AD2" s="1"/>
      <c r="AE2" s="1"/>
      <c r="AF2" s="1"/>
      <c r="AG2" s="1"/>
    </row>
    <row r="3" spans="1:33">
      <c r="A3" s="1"/>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row>
    <row r="4" spans="1:33">
      <c r="A4" s="1"/>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row>
    <row r="5" spans="1:33">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row>
    <row r="6" spans="1:33" ht="14.25" customHeight="1">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row>
    <row r="7" spans="1:33" ht="31.5" customHeight="1">
      <c r="A7" s="16"/>
      <c r="B7" s="16"/>
      <c r="C7" s="16"/>
      <c r="D7" s="25" t="s">
        <v>26</v>
      </c>
      <c r="E7" s="16"/>
      <c r="F7" s="16"/>
      <c r="G7" s="16"/>
      <c r="H7" s="16"/>
      <c r="I7" s="16"/>
      <c r="J7" s="16"/>
      <c r="K7" s="16"/>
      <c r="L7" s="16"/>
      <c r="M7" s="16"/>
      <c r="N7" s="16"/>
      <c r="O7" s="16"/>
      <c r="P7" s="16"/>
      <c r="Q7" s="16"/>
      <c r="R7" s="16"/>
      <c r="S7" s="16"/>
      <c r="T7" s="16"/>
      <c r="U7" s="16"/>
      <c r="V7" s="16"/>
      <c r="W7" s="16"/>
      <c r="X7" s="16"/>
      <c r="Y7" s="16"/>
      <c r="Z7" s="16"/>
      <c r="AA7" s="16"/>
      <c r="AB7" s="16"/>
      <c r="AC7" s="16"/>
      <c r="AD7" s="16"/>
      <c r="AE7" s="16"/>
      <c r="AF7" s="16"/>
      <c r="AG7" s="16"/>
    </row>
    <row r="8" spans="1:33">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row>
    <row r="9" spans="1:33">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row>
    <row r="10" spans="1:33">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row>
    <row r="11" spans="1:33">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row>
    <row r="12" spans="1:33">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row>
    <row r="13" spans="1:33" ht="35.25" customHeight="1">
      <c r="A13" s="70"/>
      <c r="B13" s="71"/>
      <c r="C13" s="71"/>
      <c r="D13" s="69"/>
      <c r="E13" s="17"/>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row>
    <row r="14" spans="1:33">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row>
    <row r="15" spans="1:33" ht="40.5" customHeight="1">
      <c r="A15" s="72" t="s">
        <v>1</v>
      </c>
      <c r="B15" s="73"/>
      <c r="C15" s="74"/>
      <c r="D15" s="4"/>
      <c r="E15" s="76" t="s">
        <v>2</v>
      </c>
      <c r="F15" s="62"/>
      <c r="G15" s="63"/>
      <c r="H15" s="4"/>
      <c r="I15" s="4"/>
      <c r="J15" s="4"/>
      <c r="K15" s="4"/>
      <c r="L15" s="4"/>
      <c r="M15" s="4"/>
      <c r="N15" s="4"/>
      <c r="O15" s="4"/>
      <c r="P15" s="4"/>
      <c r="Q15" s="4"/>
      <c r="R15" s="4"/>
      <c r="S15" s="4"/>
      <c r="T15" s="4"/>
      <c r="U15" s="4"/>
      <c r="V15" s="4"/>
      <c r="W15" s="4"/>
      <c r="X15" s="4"/>
      <c r="Y15" s="4"/>
      <c r="Z15" s="4"/>
      <c r="AA15" s="4"/>
      <c r="AB15" s="4"/>
      <c r="AC15" s="4"/>
      <c r="AD15" s="1"/>
      <c r="AE15" s="1"/>
      <c r="AF15" s="1"/>
      <c r="AG15" s="1"/>
    </row>
    <row r="16" spans="1:33">
      <c r="A16" s="6"/>
      <c r="B16" s="18">
        <v>19.600000000000001</v>
      </c>
      <c r="C16" s="6"/>
      <c r="D16" s="6"/>
      <c r="E16" s="6"/>
      <c r="F16" s="6"/>
      <c r="G16" s="5"/>
      <c r="H16" s="1"/>
      <c r="I16" s="1"/>
      <c r="J16" s="1"/>
      <c r="K16" s="1"/>
      <c r="L16" s="1"/>
      <c r="M16" s="1"/>
      <c r="N16" s="1"/>
      <c r="O16" s="1"/>
      <c r="P16" s="1"/>
      <c r="Q16" s="1"/>
      <c r="R16" s="1"/>
      <c r="S16" s="1"/>
      <c r="T16" s="1"/>
      <c r="U16" s="1"/>
      <c r="V16" s="1"/>
      <c r="W16" s="1"/>
      <c r="X16" s="1"/>
      <c r="Y16" s="1"/>
      <c r="Z16" s="1"/>
      <c r="AA16" s="1"/>
      <c r="AB16" s="1"/>
      <c r="AC16" s="1"/>
      <c r="AD16" s="1"/>
      <c r="AE16" s="1"/>
      <c r="AF16" s="1"/>
      <c r="AG16" s="1"/>
    </row>
    <row r="17" spans="1:33">
      <c r="A17" s="6"/>
      <c r="B17" s="18">
        <v>22.4</v>
      </c>
      <c r="C17" s="6"/>
      <c r="D17" s="6"/>
      <c r="E17" s="6"/>
      <c r="F17" s="6"/>
      <c r="G17" s="5"/>
      <c r="H17" s="1"/>
      <c r="I17" s="1"/>
      <c r="J17" s="1"/>
      <c r="K17" s="1"/>
      <c r="L17" s="1"/>
      <c r="M17" s="1"/>
      <c r="N17" s="1"/>
      <c r="O17" s="1"/>
      <c r="P17" s="1"/>
      <c r="Q17" s="1"/>
      <c r="R17" s="1"/>
      <c r="S17" s="1"/>
      <c r="T17" s="1"/>
      <c r="U17" s="1"/>
      <c r="V17" s="1"/>
      <c r="W17" s="1"/>
      <c r="X17" s="1"/>
      <c r="Y17" s="1"/>
      <c r="Z17" s="1"/>
      <c r="AA17" s="1"/>
      <c r="AB17" s="1"/>
      <c r="AC17" s="1"/>
      <c r="AD17" s="1"/>
      <c r="AE17" s="1"/>
      <c r="AF17" s="1"/>
      <c r="AG17" s="1"/>
    </row>
    <row r="18" spans="1:33">
      <c r="A18" s="6"/>
      <c r="B18" s="18">
        <v>24.5</v>
      </c>
      <c r="C18" s="6"/>
      <c r="D18" s="6"/>
      <c r="E18" s="6"/>
      <c r="F18" s="6"/>
      <c r="G18" s="5"/>
      <c r="H18" s="1"/>
      <c r="I18" s="1"/>
      <c r="J18" s="1"/>
      <c r="K18" s="1"/>
      <c r="L18" s="1"/>
      <c r="M18" s="1"/>
      <c r="N18" s="1"/>
      <c r="O18" s="1"/>
      <c r="P18" s="1"/>
      <c r="Q18" s="1"/>
      <c r="R18" s="1"/>
      <c r="S18" s="1"/>
      <c r="T18" s="1"/>
      <c r="U18" s="1"/>
      <c r="V18" s="1"/>
      <c r="W18" s="1"/>
      <c r="X18" s="1"/>
      <c r="Y18" s="1"/>
      <c r="Z18" s="1"/>
      <c r="AA18" s="1"/>
      <c r="AB18" s="1"/>
      <c r="AC18" s="1"/>
      <c r="AD18" s="1"/>
      <c r="AE18" s="1"/>
      <c r="AF18" s="1"/>
      <c r="AG18" s="1"/>
    </row>
    <row r="19" spans="1:33">
      <c r="A19" s="6"/>
      <c r="B19" s="18">
        <v>20.3</v>
      </c>
      <c r="C19" s="6"/>
      <c r="D19" s="6"/>
      <c r="E19" s="6"/>
      <c r="F19" s="6"/>
      <c r="G19" s="5"/>
      <c r="H19" s="1"/>
      <c r="I19" s="1" t="s">
        <v>8</v>
      </c>
      <c r="J19" s="1"/>
      <c r="K19" s="1"/>
      <c r="L19" s="1"/>
      <c r="M19" s="1"/>
      <c r="N19" s="1"/>
      <c r="O19" s="1"/>
      <c r="P19" s="1"/>
      <c r="Q19" s="1"/>
      <c r="R19" s="1"/>
      <c r="S19" s="1"/>
      <c r="T19" s="1"/>
      <c r="U19" s="1"/>
      <c r="V19" s="1"/>
      <c r="W19" s="1"/>
      <c r="X19" s="1"/>
      <c r="Y19" s="1"/>
      <c r="Z19" s="1"/>
      <c r="AA19" s="1"/>
      <c r="AB19" s="1"/>
      <c r="AC19" s="1"/>
      <c r="AD19" s="1"/>
      <c r="AE19" s="1"/>
      <c r="AF19" s="1"/>
      <c r="AG19" s="1"/>
    </row>
    <row r="20" spans="1:33">
      <c r="A20" s="8"/>
      <c r="B20" s="18">
        <v>21.7</v>
      </c>
      <c r="C20" s="8" t="s">
        <v>10</v>
      </c>
      <c r="D20" s="8" t="s">
        <v>11</v>
      </c>
      <c r="E20" s="8" t="s">
        <v>12</v>
      </c>
      <c r="F20" s="8" t="s">
        <v>13</v>
      </c>
      <c r="G20" s="5"/>
      <c r="H20" s="9" t="s">
        <v>14</v>
      </c>
      <c r="I20" s="40">
        <v>0.7</v>
      </c>
      <c r="J20" s="1"/>
      <c r="K20" s="6">
        <v>0.1</v>
      </c>
      <c r="L20" s="1"/>
      <c r="M20" s="7">
        <v>0.1</v>
      </c>
      <c r="N20" s="1"/>
      <c r="O20" s="1"/>
      <c r="P20" s="1"/>
      <c r="Q20" s="1"/>
      <c r="R20" s="1"/>
      <c r="S20" s="1"/>
      <c r="T20" s="1"/>
      <c r="U20" s="1"/>
      <c r="V20" s="1"/>
      <c r="W20" s="1"/>
      <c r="X20" s="1"/>
      <c r="Y20" s="1"/>
      <c r="Z20" s="1"/>
      <c r="AA20" s="1"/>
      <c r="AB20" s="1"/>
      <c r="AC20" s="1"/>
      <c r="AD20" s="1"/>
      <c r="AE20" s="1"/>
      <c r="AF20" s="1"/>
      <c r="AG20" s="1"/>
    </row>
    <row r="21" spans="1:33" ht="15.75" customHeight="1">
      <c r="A21" s="6" t="s">
        <v>15</v>
      </c>
      <c r="B21" s="10">
        <v>28</v>
      </c>
      <c r="C21" s="6">
        <v>900</v>
      </c>
      <c r="D21" s="10">
        <f>B21*(1+I22)*I20</f>
        <v>27.439999999999994</v>
      </c>
      <c r="E21" s="10">
        <f t="shared" ref="E21:E25" si="0">D21-B21</f>
        <v>-0.56000000000000583</v>
      </c>
      <c r="F21" s="10">
        <f t="shared" ref="F21:F25" si="1">E21*C21</f>
        <v>-504.00000000000523</v>
      </c>
      <c r="G21" s="5"/>
      <c r="H21" s="1"/>
      <c r="I21" s="1"/>
      <c r="J21" s="1"/>
      <c r="K21" s="6">
        <v>0.2</v>
      </c>
      <c r="L21" s="1"/>
      <c r="M21" s="7">
        <v>0.2</v>
      </c>
      <c r="N21" s="1"/>
      <c r="O21" s="1"/>
      <c r="P21" s="1"/>
      <c r="Q21" s="1"/>
      <c r="R21" s="1"/>
      <c r="S21" s="1"/>
      <c r="T21" s="1"/>
      <c r="U21" s="1"/>
      <c r="V21" s="1"/>
      <c r="W21" s="1"/>
      <c r="X21" s="1"/>
      <c r="Y21" s="1"/>
      <c r="Z21" s="1"/>
      <c r="AA21" s="1"/>
      <c r="AB21" s="1"/>
      <c r="AC21" s="1"/>
      <c r="AD21" s="1"/>
      <c r="AE21" s="1"/>
      <c r="AF21" s="1"/>
      <c r="AG21" s="1"/>
    </row>
    <row r="22" spans="1:33" ht="15.75" customHeight="1">
      <c r="A22" s="6" t="s">
        <v>16</v>
      </c>
      <c r="B22" s="10">
        <v>32</v>
      </c>
      <c r="C22" s="6">
        <v>850</v>
      </c>
      <c r="D22" s="10">
        <f>B22*(1+I22)*I20</f>
        <v>31.359999999999996</v>
      </c>
      <c r="E22" s="10">
        <f t="shared" si="0"/>
        <v>-0.64000000000000412</v>
      </c>
      <c r="F22" s="10">
        <f t="shared" si="1"/>
        <v>-544.00000000000352</v>
      </c>
      <c r="G22" s="5"/>
      <c r="H22" s="9" t="s">
        <v>17</v>
      </c>
      <c r="I22" s="11">
        <v>0.4</v>
      </c>
      <c r="J22" s="1"/>
      <c r="K22" s="6">
        <v>0.3</v>
      </c>
      <c r="L22" s="1"/>
      <c r="M22" s="7">
        <v>0.3</v>
      </c>
      <c r="N22" s="1"/>
      <c r="O22" s="1"/>
      <c r="P22" s="1"/>
      <c r="Q22" s="1"/>
      <c r="R22" s="1"/>
      <c r="S22" s="1"/>
      <c r="T22" s="1"/>
      <c r="U22" s="1"/>
      <c r="V22" s="1"/>
      <c r="W22" s="1"/>
      <c r="X22" s="1"/>
      <c r="Y22" s="1"/>
      <c r="Z22" s="1"/>
      <c r="AA22" s="1"/>
      <c r="AB22" s="1"/>
      <c r="AC22" s="1"/>
      <c r="AD22" s="1"/>
      <c r="AE22" s="1"/>
      <c r="AF22" s="1"/>
      <c r="AG22" s="1"/>
    </row>
    <row r="23" spans="1:33" ht="15.75" customHeight="1">
      <c r="A23" s="6" t="s">
        <v>18</v>
      </c>
      <c r="B23" s="10">
        <v>35</v>
      </c>
      <c r="C23" s="6">
        <v>875</v>
      </c>
      <c r="D23" s="10">
        <f>B23*(1+I22)*I20</f>
        <v>34.299999999999997</v>
      </c>
      <c r="E23" s="10">
        <f t="shared" si="0"/>
        <v>-0.70000000000000284</v>
      </c>
      <c r="F23" s="10">
        <f t="shared" si="1"/>
        <v>-612.5000000000025</v>
      </c>
      <c r="G23" s="5"/>
      <c r="H23" s="1"/>
      <c r="I23" s="41">
        <v>0</v>
      </c>
      <c r="J23" s="1"/>
      <c r="K23" s="6">
        <v>0.4</v>
      </c>
      <c r="L23" s="1"/>
      <c r="M23" s="7">
        <v>0.4</v>
      </c>
      <c r="N23" s="1"/>
      <c r="O23" s="1"/>
      <c r="P23" s="1"/>
      <c r="Q23" s="1"/>
      <c r="R23" s="1"/>
      <c r="S23" s="1"/>
      <c r="T23" s="1"/>
      <c r="U23" s="1"/>
      <c r="V23" s="1"/>
      <c r="W23" s="1"/>
      <c r="X23" s="1"/>
      <c r="Y23" s="1"/>
      <c r="Z23" s="1"/>
      <c r="AA23" s="1"/>
      <c r="AB23" s="1"/>
      <c r="AC23" s="1"/>
      <c r="AD23" s="1"/>
      <c r="AE23" s="1"/>
      <c r="AF23" s="1"/>
      <c r="AG23" s="1"/>
    </row>
    <row r="24" spans="1:33" ht="15.75" customHeight="1">
      <c r="A24" s="6" t="s">
        <v>19</v>
      </c>
      <c r="B24" s="10">
        <v>29</v>
      </c>
      <c r="C24" s="6">
        <v>825</v>
      </c>
      <c r="D24" s="10">
        <f>B24*(1+I22)*I20</f>
        <v>28.419999999999995</v>
      </c>
      <c r="E24" s="10">
        <f t="shared" si="0"/>
        <v>-0.5800000000000054</v>
      </c>
      <c r="F24" s="10">
        <f t="shared" si="1"/>
        <v>-478.50000000000443</v>
      </c>
      <c r="G24" s="5"/>
      <c r="H24" s="1"/>
      <c r="I24" s="1"/>
      <c r="J24" s="1"/>
      <c r="K24" s="6">
        <v>0.5</v>
      </c>
      <c r="L24" s="1"/>
      <c r="M24" s="7">
        <v>0.5</v>
      </c>
      <c r="N24" s="1"/>
      <c r="O24" s="1"/>
      <c r="P24" s="1"/>
      <c r="Q24" s="1"/>
      <c r="R24" s="1"/>
      <c r="S24" s="1"/>
      <c r="T24" s="1"/>
      <c r="U24" s="1"/>
      <c r="V24" s="1"/>
      <c r="W24" s="1"/>
      <c r="X24" s="1"/>
      <c r="Y24" s="1"/>
      <c r="Z24" s="1"/>
      <c r="AA24" s="1"/>
      <c r="AB24" s="1"/>
      <c r="AC24" s="1"/>
      <c r="AD24" s="1"/>
      <c r="AE24" s="1"/>
      <c r="AF24" s="1"/>
      <c r="AG24" s="1"/>
    </row>
    <row r="25" spans="1:33" ht="15.75" customHeight="1">
      <c r="A25" s="6" t="s">
        <v>20</v>
      </c>
      <c r="B25" s="10">
        <v>31</v>
      </c>
      <c r="C25" s="6">
        <v>700</v>
      </c>
      <c r="D25" s="10">
        <f>B25*(1+I22)*I20</f>
        <v>30.379999999999995</v>
      </c>
      <c r="E25" s="10">
        <f t="shared" si="0"/>
        <v>-0.62000000000000455</v>
      </c>
      <c r="F25" s="10">
        <f t="shared" si="1"/>
        <v>-434.00000000000318</v>
      </c>
      <c r="G25" s="5"/>
      <c r="H25" s="1"/>
      <c r="I25" s="1"/>
      <c r="J25" s="1"/>
      <c r="K25" s="6">
        <v>0.6</v>
      </c>
      <c r="L25" s="1"/>
      <c r="M25" s="7">
        <v>0.6</v>
      </c>
      <c r="N25" s="1"/>
      <c r="O25" s="1"/>
      <c r="P25" s="1"/>
      <c r="Q25" s="1"/>
      <c r="R25" s="1"/>
      <c r="S25" s="1"/>
      <c r="T25" s="1"/>
      <c r="U25" s="1"/>
      <c r="V25" s="1"/>
      <c r="W25" s="1"/>
      <c r="X25" s="1"/>
      <c r="Y25" s="1"/>
      <c r="Z25" s="1"/>
      <c r="AA25" s="1"/>
      <c r="AB25" s="1"/>
      <c r="AC25" s="1"/>
      <c r="AD25" s="1"/>
      <c r="AE25" s="1"/>
      <c r="AF25" s="1"/>
      <c r="AG25" s="1"/>
    </row>
    <row r="26" spans="1:33" ht="15.75" customHeight="1">
      <c r="A26" s="6"/>
      <c r="B26" s="6"/>
      <c r="C26" s="6"/>
      <c r="D26" s="6"/>
      <c r="E26" s="6"/>
      <c r="F26" s="10">
        <f>SUM(F21:F25)</f>
        <v>-2573.0000000000186</v>
      </c>
      <c r="G26" s="1"/>
      <c r="H26" s="1"/>
      <c r="I26" s="1"/>
      <c r="J26" s="1"/>
      <c r="K26" s="6">
        <v>0.7</v>
      </c>
      <c r="L26" s="1"/>
      <c r="M26" s="7">
        <v>0.7</v>
      </c>
      <c r="N26" s="1"/>
      <c r="O26" s="1"/>
      <c r="P26" s="1"/>
      <c r="Q26" s="1"/>
      <c r="R26" s="1"/>
      <c r="S26" s="1"/>
      <c r="T26" s="1"/>
      <c r="U26" s="1"/>
      <c r="V26" s="1"/>
      <c r="W26" s="1"/>
      <c r="X26" s="1"/>
      <c r="Y26" s="1"/>
      <c r="Z26" s="1"/>
      <c r="AA26" s="1"/>
      <c r="AB26" s="1"/>
      <c r="AC26" s="1"/>
      <c r="AD26" s="1"/>
      <c r="AE26" s="1"/>
      <c r="AF26" s="1"/>
      <c r="AG26" s="1"/>
    </row>
    <row r="27" spans="1:33" ht="15.75" customHeight="1">
      <c r="A27" s="1"/>
      <c r="B27" s="1"/>
      <c r="C27" s="1"/>
      <c r="D27" s="1"/>
      <c r="E27" s="1"/>
      <c r="F27" s="1"/>
      <c r="G27" s="1"/>
      <c r="H27" s="1"/>
      <c r="I27" s="1"/>
      <c r="J27" s="1"/>
      <c r="K27" s="6">
        <v>0.8</v>
      </c>
      <c r="L27" s="1"/>
      <c r="M27" s="7">
        <v>0.8</v>
      </c>
      <c r="N27" s="1"/>
      <c r="O27" s="1"/>
      <c r="P27" s="1"/>
      <c r="Q27" s="1"/>
      <c r="R27" s="1"/>
      <c r="S27" s="1"/>
      <c r="T27" s="1"/>
      <c r="U27" s="1"/>
      <c r="V27" s="1"/>
      <c r="W27" s="1"/>
      <c r="X27" s="1"/>
      <c r="Y27" s="1"/>
      <c r="Z27" s="1"/>
      <c r="AA27" s="1"/>
      <c r="AB27" s="1"/>
      <c r="AC27" s="1"/>
      <c r="AD27" s="1"/>
      <c r="AE27" s="1"/>
      <c r="AF27" s="1"/>
      <c r="AG27" s="1"/>
    </row>
    <row r="28" spans="1:33" ht="15.75" customHeight="1">
      <c r="A28" s="19"/>
      <c r="B28" s="12" t="s">
        <v>21</v>
      </c>
      <c r="C28" s="12" t="s">
        <v>10</v>
      </c>
      <c r="D28" s="12" t="s">
        <v>23</v>
      </c>
      <c r="E28" s="12" t="s">
        <v>24</v>
      </c>
      <c r="F28" s="12" t="s">
        <v>27</v>
      </c>
      <c r="G28" s="1"/>
      <c r="H28" s="1"/>
      <c r="I28" s="1"/>
      <c r="J28" s="1"/>
      <c r="K28" s="6">
        <v>0.9</v>
      </c>
      <c r="L28" s="1"/>
      <c r="M28" s="7">
        <v>0.9</v>
      </c>
      <c r="N28" s="1"/>
      <c r="O28" s="1"/>
      <c r="P28" s="1"/>
      <c r="Q28" s="1"/>
      <c r="R28" s="1"/>
      <c r="S28" s="1"/>
      <c r="T28" s="1"/>
      <c r="U28" s="1"/>
      <c r="V28" s="1"/>
      <c r="W28" s="1"/>
      <c r="X28" s="1"/>
      <c r="Y28" s="1"/>
      <c r="Z28" s="1"/>
      <c r="AA28" s="1"/>
      <c r="AB28" s="1"/>
      <c r="AC28" s="1"/>
      <c r="AD28" s="1"/>
      <c r="AE28" s="1"/>
      <c r="AF28" s="1"/>
      <c r="AG28" s="1"/>
    </row>
    <row r="29" spans="1:33" ht="15.75" customHeight="1">
      <c r="A29" s="1"/>
      <c r="B29" s="13" t="s">
        <v>15</v>
      </c>
      <c r="C29" s="20">
        <f>IF((900+(27.44-D29)*10*20),(900+(27.44-D29)*10*20))</f>
        <v>900.00000000000136</v>
      </c>
      <c r="D29" s="14">
        <f>B21*(1+I22)*I20</f>
        <v>27.439999999999994</v>
      </c>
      <c r="E29" s="14">
        <f t="shared" ref="E29:E33" si="2">D29-B16</f>
        <v>7.8399999999999928</v>
      </c>
      <c r="F29" s="14">
        <f t="shared" ref="F29:F33" si="3">E29*C29</f>
        <v>7056.0000000000045</v>
      </c>
      <c r="G29" s="1"/>
      <c r="H29" s="1"/>
      <c r="I29" s="1"/>
      <c r="J29" s="1"/>
      <c r="K29" s="6">
        <v>1</v>
      </c>
      <c r="L29" s="1"/>
      <c r="M29" s="1"/>
      <c r="N29" s="1"/>
      <c r="O29" s="1"/>
      <c r="P29" s="1"/>
      <c r="Q29" s="1"/>
      <c r="R29" s="1"/>
      <c r="S29" s="1"/>
      <c r="T29" s="1"/>
      <c r="U29" s="1"/>
      <c r="V29" s="1"/>
      <c r="W29" s="1"/>
      <c r="X29" s="1"/>
      <c r="Y29" s="1"/>
      <c r="Z29" s="1"/>
      <c r="AA29" s="1"/>
      <c r="AB29" s="1"/>
      <c r="AC29" s="1"/>
      <c r="AD29" s="1"/>
      <c r="AE29" s="1"/>
      <c r="AF29" s="1"/>
      <c r="AG29" s="1"/>
    </row>
    <row r="30" spans="1:33" ht="15.75" customHeight="1">
      <c r="A30" s="1"/>
      <c r="B30" s="13" t="s">
        <v>16</v>
      </c>
      <c r="C30" s="20">
        <f>IF((850+(31.36-D30)*10*20),(850+(31.36-D30)*10*20))</f>
        <v>850.00000000000068</v>
      </c>
      <c r="D30" s="14">
        <f>B22*(1+I22)*I20</f>
        <v>31.359999999999996</v>
      </c>
      <c r="E30" s="14">
        <f>D30-B17</f>
        <v>8.9599999999999973</v>
      </c>
      <c r="F30" s="14">
        <f t="shared" si="3"/>
        <v>7616.0000000000036</v>
      </c>
      <c r="G30" s="1"/>
      <c r="H30" s="1"/>
      <c r="I30" s="1"/>
      <c r="J30" s="1"/>
      <c r="K30" s="6">
        <v>1.1000000000000001</v>
      </c>
      <c r="L30" s="1"/>
      <c r="M30" s="1"/>
      <c r="N30" s="1"/>
      <c r="O30" s="1"/>
      <c r="P30" s="1"/>
      <c r="Q30" s="1"/>
      <c r="R30" s="1"/>
      <c r="S30" s="1"/>
      <c r="T30" s="1"/>
      <c r="U30" s="1"/>
      <c r="V30" s="1"/>
      <c r="W30" s="1"/>
      <c r="X30" s="1"/>
      <c r="Y30" s="1"/>
      <c r="Z30" s="1"/>
      <c r="AA30" s="1"/>
      <c r="AB30" s="1"/>
      <c r="AC30" s="1"/>
      <c r="AD30" s="1"/>
      <c r="AE30" s="1"/>
      <c r="AF30" s="1"/>
      <c r="AG30" s="1"/>
    </row>
    <row r="31" spans="1:33" ht="15.75" customHeight="1">
      <c r="A31" s="1"/>
      <c r="B31" s="21" t="s">
        <v>18</v>
      </c>
      <c r="C31" s="20">
        <f>IF((875+(34.3-D31)*10*20),(875+(34.3-D31)*10*20))</f>
        <v>875</v>
      </c>
      <c r="D31" s="14">
        <f>B23*(1+I22)*I20</f>
        <v>34.299999999999997</v>
      </c>
      <c r="E31" s="14">
        <f t="shared" si="2"/>
        <v>9.7999999999999972</v>
      </c>
      <c r="F31" s="14">
        <f t="shared" si="3"/>
        <v>8574.9999999999982</v>
      </c>
      <c r="G31" s="1"/>
      <c r="H31" s="1"/>
      <c r="I31" s="1"/>
      <c r="J31" s="1"/>
      <c r="K31" s="6">
        <v>1.2</v>
      </c>
      <c r="L31" s="1"/>
      <c r="M31" s="1"/>
      <c r="N31" s="1"/>
      <c r="O31" s="1"/>
      <c r="P31" s="1"/>
      <c r="Q31" s="1"/>
      <c r="R31" s="1"/>
      <c r="S31" s="1"/>
      <c r="T31" s="1"/>
      <c r="U31" s="1"/>
      <c r="V31" s="1"/>
      <c r="W31" s="1"/>
      <c r="X31" s="1"/>
      <c r="Y31" s="1"/>
      <c r="Z31" s="1"/>
      <c r="AA31" s="1"/>
      <c r="AB31" s="1"/>
      <c r="AC31" s="1"/>
      <c r="AD31" s="1"/>
      <c r="AE31" s="1"/>
      <c r="AF31" s="1"/>
      <c r="AG31" s="1"/>
    </row>
    <row r="32" spans="1:33" ht="15.75" customHeight="1" thickBot="1">
      <c r="A32" s="1"/>
      <c r="B32" s="13" t="s">
        <v>19</v>
      </c>
      <c r="C32" s="20">
        <f>IF((825+(28.42-D32)*10*20),(825+(28.42-D32)*10*20))</f>
        <v>825.00000000000136</v>
      </c>
      <c r="D32" s="14">
        <f>B24*(1+I22)*I20</f>
        <v>28.419999999999995</v>
      </c>
      <c r="E32" s="14">
        <f t="shared" si="2"/>
        <v>8.1199999999999939</v>
      </c>
      <c r="F32" s="14">
        <f t="shared" si="3"/>
        <v>6699.0000000000064</v>
      </c>
      <c r="G32" s="1"/>
      <c r="H32" s="1"/>
      <c r="I32" s="1"/>
      <c r="J32" s="1"/>
      <c r="K32" s="6">
        <v>1.3</v>
      </c>
      <c r="L32" s="1"/>
      <c r="M32" s="1"/>
      <c r="N32" s="1"/>
      <c r="O32" s="1"/>
      <c r="P32" s="1"/>
      <c r="Q32" s="1"/>
      <c r="R32" s="1"/>
      <c r="S32" s="1"/>
      <c r="T32" s="1"/>
      <c r="U32" s="1"/>
      <c r="V32" s="1"/>
      <c r="W32" s="1"/>
      <c r="X32" s="1"/>
      <c r="Y32" s="1"/>
      <c r="Z32" s="1"/>
      <c r="AA32" s="1"/>
      <c r="AB32" s="1"/>
      <c r="AC32" s="1"/>
      <c r="AD32" s="1"/>
      <c r="AE32" s="1"/>
      <c r="AF32" s="1"/>
      <c r="AG32" s="1"/>
    </row>
    <row r="33" spans="1:33" ht="15.75" customHeight="1" thickBot="1">
      <c r="A33" s="1"/>
      <c r="B33" s="54" t="s">
        <v>20</v>
      </c>
      <c r="C33" s="55">
        <f>IF((700+(30.38-D33)*10*20),(700+(30.38-D33)*10*20))</f>
        <v>700.00000000000068</v>
      </c>
      <c r="D33" s="56">
        <f>B25*(1+I22)*I20</f>
        <v>30.379999999999995</v>
      </c>
      <c r="E33" s="56">
        <f t="shared" si="2"/>
        <v>8.6799999999999962</v>
      </c>
      <c r="F33" s="56">
        <f t="shared" si="3"/>
        <v>6076.0000000000036</v>
      </c>
      <c r="G33" s="1"/>
      <c r="H33" s="1"/>
      <c r="I33" s="1"/>
      <c r="J33" s="1"/>
      <c r="K33" s="6">
        <v>1.4</v>
      </c>
      <c r="L33" s="1"/>
      <c r="M33" s="1"/>
      <c r="N33" s="1"/>
      <c r="O33" s="1"/>
      <c r="P33" s="1"/>
      <c r="Q33" s="1"/>
      <c r="R33" s="1"/>
      <c r="S33" s="1"/>
      <c r="T33" s="1"/>
      <c r="U33" s="1"/>
      <c r="V33" s="1"/>
      <c r="W33" s="1"/>
      <c r="X33" s="1"/>
      <c r="Y33" s="1"/>
      <c r="Z33" s="1"/>
      <c r="AA33" s="1"/>
      <c r="AB33" s="1"/>
      <c r="AC33" s="1"/>
      <c r="AD33" s="1"/>
      <c r="AE33" s="1"/>
      <c r="AF33" s="1"/>
      <c r="AG33" s="1"/>
    </row>
    <row r="34" spans="1:33" ht="15.75" customHeight="1" thickBot="1">
      <c r="A34" s="1"/>
      <c r="B34" s="57"/>
      <c r="C34" s="58"/>
      <c r="D34" s="58"/>
      <c r="E34" s="60" t="s">
        <v>13</v>
      </c>
      <c r="F34" s="59">
        <f>SUM(F29:F33)</f>
        <v>36022.000000000015</v>
      </c>
      <c r="G34" s="1"/>
      <c r="H34" s="1"/>
      <c r="I34" s="1"/>
      <c r="J34" s="1"/>
      <c r="K34" s="6">
        <v>1.5</v>
      </c>
      <c r="L34" s="1"/>
      <c r="M34" s="1"/>
      <c r="N34" s="1"/>
      <c r="O34" s="1"/>
      <c r="P34" s="1"/>
      <c r="Q34" s="1"/>
      <c r="R34" s="1"/>
      <c r="S34" s="1"/>
      <c r="T34" s="1"/>
      <c r="U34" s="1"/>
      <c r="V34" s="1"/>
      <c r="W34" s="1"/>
      <c r="X34" s="1"/>
      <c r="Y34" s="1"/>
      <c r="Z34" s="1"/>
      <c r="AA34" s="1"/>
      <c r="AB34" s="1"/>
      <c r="AC34" s="1"/>
      <c r="AD34" s="1"/>
      <c r="AE34" s="1"/>
      <c r="AF34" s="1"/>
      <c r="AG34" s="1"/>
    </row>
    <row r="35" spans="1:33" ht="15.75" customHeight="1">
      <c r="A35" s="1"/>
      <c r="B35" s="1"/>
      <c r="C35" s="1"/>
      <c r="D35" s="1"/>
      <c r="E35" s="1"/>
      <c r="F35" s="1"/>
      <c r="G35" s="1"/>
      <c r="H35" s="1"/>
      <c r="I35" s="1"/>
      <c r="J35" s="1"/>
      <c r="K35" s="6">
        <v>1.6</v>
      </c>
      <c r="L35" s="1"/>
      <c r="M35" s="1"/>
      <c r="N35" s="1"/>
      <c r="O35" s="1"/>
      <c r="P35" s="1"/>
      <c r="Q35" s="1"/>
      <c r="R35" s="1"/>
      <c r="S35" s="1"/>
      <c r="T35" s="1"/>
      <c r="U35" s="1"/>
      <c r="V35" s="1"/>
      <c r="W35" s="1"/>
      <c r="X35" s="1"/>
      <c r="Y35" s="1"/>
      <c r="Z35" s="1"/>
      <c r="AA35" s="1"/>
      <c r="AB35" s="1"/>
      <c r="AC35" s="1"/>
      <c r="AD35" s="1"/>
      <c r="AE35" s="1"/>
      <c r="AF35" s="1"/>
      <c r="AG35" s="1"/>
    </row>
    <row r="36" spans="1:33" ht="15.75" customHeight="1">
      <c r="A36" s="1"/>
      <c r="B36" s="1"/>
      <c r="C36" s="1"/>
      <c r="D36" s="1"/>
      <c r="E36" s="1"/>
      <c r="F36" s="1"/>
      <c r="G36" s="1"/>
      <c r="H36" s="1"/>
      <c r="I36" s="1"/>
      <c r="J36" s="1"/>
      <c r="K36" s="6">
        <v>1.7</v>
      </c>
      <c r="L36" s="1"/>
      <c r="M36" s="1"/>
      <c r="N36" s="1"/>
      <c r="O36" s="1"/>
      <c r="P36" s="1"/>
      <c r="Q36" s="1"/>
      <c r="R36" s="1"/>
      <c r="S36" s="1"/>
      <c r="T36" s="1"/>
      <c r="U36" s="1"/>
      <c r="V36" s="1"/>
      <c r="W36" s="1"/>
      <c r="X36" s="1"/>
      <c r="Y36" s="1"/>
      <c r="Z36" s="1"/>
      <c r="AA36" s="1"/>
      <c r="AB36" s="1"/>
      <c r="AC36" s="1"/>
      <c r="AD36" s="1"/>
      <c r="AE36" s="1"/>
      <c r="AF36" s="1"/>
      <c r="AG36" s="1"/>
    </row>
    <row r="37" spans="1:33" ht="15.75" customHeight="1">
      <c r="A37" s="1"/>
      <c r="B37" s="1"/>
      <c r="C37" s="1"/>
      <c r="D37" s="1"/>
      <c r="E37" s="1"/>
      <c r="F37" s="22"/>
      <c r="G37" s="1"/>
      <c r="H37" s="1"/>
      <c r="I37" s="1"/>
      <c r="J37" s="1"/>
      <c r="K37" s="6">
        <v>1.8</v>
      </c>
      <c r="L37" s="1"/>
      <c r="M37" s="1"/>
      <c r="N37" s="1"/>
      <c r="O37" s="1"/>
      <c r="P37" s="1"/>
      <c r="Q37" s="1"/>
      <c r="R37" s="1"/>
      <c r="S37" s="1"/>
      <c r="T37" s="1"/>
      <c r="U37" s="1"/>
      <c r="V37" s="1"/>
      <c r="W37" s="1"/>
      <c r="X37" s="1"/>
      <c r="Y37" s="1"/>
      <c r="Z37" s="1"/>
      <c r="AA37" s="1"/>
      <c r="AB37" s="1"/>
      <c r="AC37" s="1"/>
      <c r="AD37" s="1"/>
      <c r="AE37" s="1"/>
      <c r="AF37" s="1"/>
      <c r="AG37" s="1"/>
    </row>
    <row r="38" spans="1:33" ht="15.75" customHeight="1">
      <c r="A38" s="1"/>
      <c r="B38" s="1"/>
      <c r="C38" s="1"/>
      <c r="D38" s="1"/>
      <c r="E38" s="1"/>
      <c r="F38" s="1"/>
      <c r="G38" s="1"/>
      <c r="H38" s="1"/>
      <c r="I38" s="1"/>
      <c r="J38" s="1"/>
      <c r="K38" s="6">
        <v>1.9</v>
      </c>
      <c r="L38" s="1"/>
      <c r="M38" s="1"/>
      <c r="N38" s="1"/>
      <c r="O38" s="1"/>
      <c r="P38" s="1"/>
      <c r="Q38" s="1"/>
      <c r="R38" s="1"/>
      <c r="S38" s="1"/>
      <c r="T38" s="1"/>
      <c r="U38" s="1"/>
      <c r="V38" s="1"/>
      <c r="W38" s="1"/>
      <c r="X38" s="1"/>
      <c r="Y38" s="1"/>
      <c r="Z38" s="1"/>
      <c r="AA38" s="1"/>
      <c r="AB38" s="1"/>
      <c r="AC38" s="1"/>
      <c r="AD38" s="1"/>
      <c r="AE38" s="1"/>
      <c r="AF38" s="1"/>
      <c r="AG38" s="1"/>
    </row>
    <row r="39" spans="1:33" ht="15.75" customHeight="1">
      <c r="A39" s="1"/>
      <c r="B39" s="1"/>
      <c r="C39" s="1"/>
      <c r="D39" s="1"/>
      <c r="E39" s="1"/>
      <c r="F39" s="1"/>
      <c r="G39" s="1"/>
      <c r="H39" s="1"/>
      <c r="I39" s="1"/>
      <c r="J39" s="1"/>
      <c r="K39" s="6">
        <v>2</v>
      </c>
      <c r="L39" s="1"/>
      <c r="M39" s="1"/>
      <c r="N39" s="1"/>
      <c r="O39" s="1"/>
      <c r="P39" s="1"/>
      <c r="Q39" s="1"/>
      <c r="R39" s="1"/>
      <c r="S39" s="1"/>
      <c r="T39" s="1"/>
      <c r="U39" s="1"/>
      <c r="V39" s="1"/>
      <c r="W39" s="1"/>
      <c r="X39" s="1"/>
      <c r="Y39" s="1"/>
      <c r="Z39" s="1"/>
      <c r="AA39" s="1"/>
      <c r="AB39" s="1"/>
      <c r="AC39" s="1"/>
      <c r="AD39" s="1"/>
      <c r="AE39" s="1"/>
      <c r="AF39" s="1"/>
      <c r="AG39" s="1"/>
    </row>
    <row r="40" spans="1:33" ht="15.75" customHeight="1">
      <c r="A40" s="1"/>
      <c r="B40" s="1"/>
      <c r="C40" s="1"/>
      <c r="D40" s="23"/>
      <c r="E40" s="1"/>
      <c r="F40" s="1"/>
      <c r="G40" s="1"/>
      <c r="H40" s="1"/>
      <c r="I40" s="1"/>
      <c r="J40" s="1"/>
      <c r="K40" s="6">
        <v>2.1</v>
      </c>
      <c r="L40" s="1"/>
      <c r="M40" s="1"/>
      <c r="N40" s="1"/>
      <c r="O40" s="1"/>
      <c r="P40" s="1"/>
      <c r="Q40" s="1"/>
      <c r="R40" s="1"/>
      <c r="S40" s="1"/>
      <c r="T40" s="1"/>
      <c r="U40" s="1"/>
      <c r="V40" s="1"/>
      <c r="W40" s="1"/>
      <c r="X40" s="1"/>
      <c r="Y40" s="1"/>
      <c r="Z40" s="1"/>
      <c r="AA40" s="1"/>
      <c r="AB40" s="1"/>
      <c r="AC40" s="1"/>
      <c r="AD40" s="1"/>
      <c r="AE40" s="1"/>
      <c r="AF40" s="1"/>
      <c r="AG40" s="1"/>
    </row>
    <row r="41" spans="1:33" ht="15.75" customHeight="1">
      <c r="A41" s="1"/>
      <c r="B41" s="1"/>
      <c r="C41" s="1"/>
      <c r="D41" s="1"/>
      <c r="E41" s="1"/>
      <c r="F41" s="1"/>
      <c r="G41" s="1"/>
      <c r="H41" s="1"/>
      <c r="I41" s="1"/>
      <c r="J41" s="1"/>
      <c r="K41" s="6">
        <v>2.2000000000000002</v>
      </c>
      <c r="L41" s="1"/>
      <c r="M41" s="1"/>
      <c r="N41" s="1"/>
      <c r="O41" s="1"/>
      <c r="P41" s="1"/>
      <c r="Q41" s="1"/>
      <c r="R41" s="1"/>
      <c r="S41" s="1"/>
      <c r="T41" s="1"/>
      <c r="U41" s="1"/>
      <c r="V41" s="1"/>
      <c r="W41" s="1"/>
      <c r="X41" s="1"/>
      <c r="Y41" s="1"/>
      <c r="Z41" s="1"/>
      <c r="AA41" s="1"/>
      <c r="AB41" s="1"/>
      <c r="AC41" s="1"/>
      <c r="AD41" s="1"/>
      <c r="AE41" s="1"/>
      <c r="AF41" s="1"/>
      <c r="AG41" s="1"/>
    </row>
    <row r="42" spans="1:33" ht="15.75" customHeight="1">
      <c r="A42" s="1"/>
      <c r="B42" s="1"/>
      <c r="C42" s="1"/>
      <c r="D42" s="1"/>
      <c r="E42" s="1"/>
      <c r="F42" s="1"/>
      <c r="G42" s="1"/>
      <c r="H42" s="1"/>
      <c r="I42" s="1"/>
      <c r="J42" s="1"/>
      <c r="K42" s="6">
        <v>2.2999999999999998</v>
      </c>
      <c r="L42" s="1"/>
      <c r="M42" s="1"/>
      <c r="N42" s="1"/>
      <c r="O42" s="1"/>
      <c r="P42" s="1"/>
      <c r="Q42" s="1"/>
      <c r="R42" s="1"/>
      <c r="S42" s="1"/>
      <c r="T42" s="1"/>
      <c r="U42" s="1"/>
      <c r="V42" s="1"/>
      <c r="W42" s="1"/>
      <c r="X42" s="1"/>
      <c r="Y42" s="1"/>
      <c r="Z42" s="1"/>
      <c r="AA42" s="1"/>
      <c r="AB42" s="1"/>
      <c r="AC42" s="1"/>
      <c r="AD42" s="1"/>
      <c r="AE42" s="1"/>
      <c r="AF42" s="1"/>
      <c r="AG42" s="1"/>
    </row>
    <row r="43" spans="1:33" ht="15.75" customHeight="1">
      <c r="A43" s="1"/>
      <c r="B43" s="1"/>
      <c r="C43" s="1"/>
      <c r="D43" s="1"/>
      <c r="E43" s="1"/>
      <c r="F43" s="1"/>
      <c r="G43" s="1"/>
      <c r="H43" s="1"/>
      <c r="I43" s="1"/>
      <c r="J43" s="1"/>
      <c r="K43" s="6">
        <v>2.4</v>
      </c>
      <c r="L43" s="1"/>
      <c r="M43" s="1"/>
      <c r="N43" s="1"/>
      <c r="O43" s="1"/>
      <c r="P43" s="1"/>
      <c r="Q43" s="1"/>
      <c r="R43" s="1"/>
      <c r="S43" s="1"/>
      <c r="T43" s="1"/>
      <c r="U43" s="1"/>
      <c r="V43" s="1"/>
      <c r="W43" s="1"/>
      <c r="X43" s="1"/>
      <c r="Y43" s="1"/>
      <c r="Z43" s="1"/>
      <c r="AA43" s="1"/>
      <c r="AB43" s="1"/>
      <c r="AC43" s="1"/>
      <c r="AD43" s="1"/>
      <c r="AE43" s="1"/>
      <c r="AF43" s="1"/>
      <c r="AG43" s="1"/>
    </row>
    <row r="44" spans="1:33" ht="15.75" customHeight="1">
      <c r="A44" s="1"/>
      <c r="B44" s="1"/>
      <c r="C44" s="1"/>
      <c r="D44" s="1"/>
      <c r="E44" s="1"/>
      <c r="F44" s="1"/>
      <c r="G44" s="1"/>
      <c r="H44" s="1"/>
      <c r="I44" s="1"/>
      <c r="J44" s="1"/>
      <c r="K44" s="6">
        <v>2.5</v>
      </c>
      <c r="L44" s="1"/>
      <c r="M44" s="1"/>
      <c r="N44" s="1"/>
      <c r="O44" s="1"/>
      <c r="P44" s="1"/>
      <c r="Q44" s="1"/>
      <c r="R44" s="1"/>
      <c r="S44" s="1"/>
      <c r="T44" s="1"/>
      <c r="U44" s="1"/>
      <c r="V44" s="1"/>
      <c r="W44" s="1"/>
      <c r="X44" s="1"/>
      <c r="Y44" s="1"/>
      <c r="Z44" s="1"/>
      <c r="AA44" s="1"/>
      <c r="AB44" s="1"/>
      <c r="AC44" s="1"/>
      <c r="AD44" s="1"/>
      <c r="AE44" s="1"/>
      <c r="AF44" s="1"/>
      <c r="AG44" s="1"/>
    </row>
    <row r="45" spans="1:33"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row>
    <row r="46" spans="1:33"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row>
    <row r="47" spans="1:33"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row>
    <row r="48" spans="1:33"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row>
    <row r="49" spans="1:33"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row>
    <row r="50" spans="1:33"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row>
    <row r="51" spans="1:33"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row>
    <row r="52" spans="1:33"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row>
    <row r="53" spans="1:33"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row>
    <row r="54" spans="1:33"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row>
    <row r="55" spans="1:33"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row>
    <row r="56" spans="1:33"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row>
    <row r="57" spans="1:33"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row>
    <row r="58" spans="1:33"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row>
    <row r="59" spans="1:33"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row>
    <row r="60" spans="1:33"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row>
    <row r="61" spans="1:33"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row>
    <row r="62" spans="1:33"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row>
    <row r="63" spans="1:33"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row>
    <row r="64" spans="1:33"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row>
    <row r="65" spans="1:33"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row>
    <row r="66" spans="1:33"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row>
    <row r="67" spans="1:33"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row>
    <row r="68" spans="1:33"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row>
    <row r="69" spans="1:33"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row>
    <row r="70" spans="1:33"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row>
    <row r="71" spans="1:33"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row>
    <row r="72" spans="1:33"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row>
    <row r="73" spans="1:33"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row>
    <row r="74" spans="1:33" ht="15.75" customHeight="1"/>
    <row r="75" spans="1:33" ht="15.75" customHeight="1"/>
    <row r="76" spans="1:33" ht="15.75" customHeight="1"/>
    <row r="77" spans="1:33" ht="15.75" customHeight="1"/>
    <row r="78" spans="1:33" ht="15.75" customHeight="1"/>
    <row r="79" spans="1:33" ht="15.75" customHeight="1"/>
    <row r="80" spans="1:33"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4">
    <mergeCell ref="I2:J2"/>
    <mergeCell ref="A13:D13"/>
    <mergeCell ref="A15:C15"/>
    <mergeCell ref="E15:G15"/>
  </mergeCells>
  <conditionalFormatting sqref="F29:F34">
    <cfRule type="cellIs" dxfId="3" priority="3" operator="lessThan">
      <formula>0</formula>
    </cfRule>
    <cfRule type="cellIs" dxfId="2" priority="4" operator="greaterThan">
      <formula>0</formula>
    </cfRule>
  </conditionalFormatting>
  <conditionalFormatting sqref="E29:E33">
    <cfRule type="cellIs" dxfId="1" priority="1" operator="lessThan">
      <formula>0</formula>
    </cfRule>
    <cfRule type="cellIs" dxfId="0" priority="2" operator="greaterThan">
      <formula>0</formula>
    </cfRule>
  </conditionalFormatting>
  <dataValidations count="2">
    <dataValidation type="list" allowBlank="1" showErrorMessage="1" sqref="I22" xr:uid="{00000000-0002-0000-0200-000000000000}">
      <formula1>$M$20:$M$28</formula1>
    </dataValidation>
    <dataValidation type="list" allowBlank="1" showErrorMessage="1" sqref="I20" xr:uid="{00000000-0002-0000-0200-000001000000}">
      <formula1>$K$20:$K$44</formula1>
    </dataValidation>
  </dataValidations>
  <pageMargins left="0.7" right="0.7" top="0.75" bottom="0.75" header="0" footer="0"/>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G1000"/>
  <sheetViews>
    <sheetView showGridLines="0" topLeftCell="E30" zoomScale="90" zoomScaleNormal="90" workbookViewId="0">
      <selection activeCell="H63" sqref="H63"/>
    </sheetView>
  </sheetViews>
  <sheetFormatPr baseColWidth="10" defaultColWidth="14.5" defaultRowHeight="15" customHeight="1"/>
  <cols>
    <col min="1" max="1" width="18.1640625" customWidth="1"/>
    <col min="2" max="2" width="29.83203125" customWidth="1"/>
    <col min="3" max="3" width="35.5" customWidth="1"/>
    <col min="4" max="4" width="28.83203125" customWidth="1"/>
    <col min="5" max="5" width="31.83203125" customWidth="1"/>
    <col min="6" max="6" width="21.33203125" customWidth="1"/>
    <col min="7" max="7" width="15.5" customWidth="1"/>
    <col min="8" max="8" width="16.83203125" customWidth="1"/>
    <col min="9" max="9" width="16.5" customWidth="1"/>
    <col min="10" max="10" width="15.5" customWidth="1"/>
    <col min="11" max="11" width="15.83203125" customWidth="1"/>
    <col min="12" max="12" width="13.1640625" customWidth="1"/>
    <col min="13" max="13" width="14.5" customWidth="1"/>
    <col min="14" max="14" width="12.5" customWidth="1"/>
    <col min="15" max="33" width="8.6640625" customWidth="1"/>
  </cols>
  <sheetData>
    <row r="1" spans="1:33">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row>
    <row r="2" spans="1:33" ht="23.25" customHeight="1">
      <c r="A2" s="1"/>
      <c r="B2" s="1"/>
      <c r="D2" s="1"/>
      <c r="E2" s="1"/>
      <c r="F2" s="1"/>
      <c r="G2" s="1"/>
      <c r="H2" s="1"/>
      <c r="I2" s="77" t="s">
        <v>25</v>
      </c>
      <c r="J2" s="69"/>
      <c r="K2" s="1"/>
      <c r="L2" s="1"/>
      <c r="M2" s="1"/>
      <c r="N2" s="1"/>
      <c r="O2" s="1"/>
      <c r="P2" s="1"/>
      <c r="Q2" s="1"/>
      <c r="R2" s="1"/>
      <c r="S2" s="1"/>
      <c r="T2" s="1"/>
      <c r="U2" s="1"/>
      <c r="V2" s="1"/>
      <c r="W2" s="1"/>
      <c r="X2" s="1"/>
      <c r="Y2" s="1"/>
      <c r="Z2" s="1"/>
      <c r="AA2" s="1"/>
      <c r="AB2" s="1"/>
      <c r="AC2" s="1"/>
      <c r="AD2" s="1"/>
      <c r="AE2" s="1"/>
      <c r="AF2" s="1"/>
      <c r="AG2" s="1"/>
    </row>
    <row r="3" spans="1:33">
      <c r="A3" s="1"/>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row>
    <row r="4" spans="1:33">
      <c r="A4" s="1"/>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row>
    <row r="5" spans="1:33">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row>
    <row r="6" spans="1:33" ht="14.25" customHeight="1">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row>
    <row r="7" spans="1:33" ht="31.5" customHeight="1">
      <c r="A7" s="16"/>
      <c r="B7" s="16"/>
      <c r="C7" s="16"/>
      <c r="D7" s="25" t="s">
        <v>28</v>
      </c>
      <c r="E7" s="16"/>
      <c r="F7" s="16"/>
      <c r="G7" s="16"/>
      <c r="H7" s="16"/>
      <c r="I7" s="16"/>
      <c r="J7" s="16"/>
      <c r="K7" s="16"/>
      <c r="L7" s="16"/>
      <c r="M7" s="16"/>
      <c r="N7" s="16"/>
      <c r="O7" s="16"/>
      <c r="P7" s="16"/>
      <c r="Q7" s="16"/>
      <c r="R7" s="16"/>
      <c r="S7" s="16"/>
      <c r="T7" s="16"/>
      <c r="U7" s="16"/>
      <c r="V7" s="16"/>
      <c r="W7" s="16"/>
      <c r="X7" s="16"/>
      <c r="Y7" s="16"/>
      <c r="Z7" s="16"/>
      <c r="AA7" s="16"/>
      <c r="AB7" s="16"/>
      <c r="AC7" s="16"/>
      <c r="AD7" s="16"/>
      <c r="AE7" s="16"/>
      <c r="AF7" s="16"/>
      <c r="AG7" s="16"/>
    </row>
    <row r="8" spans="1:33">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row>
    <row r="9" spans="1:33">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row>
    <row r="10" spans="1:33">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row>
    <row r="11" spans="1:33">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row>
    <row r="12" spans="1:33">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row>
    <row r="13" spans="1:33" ht="35.25" customHeight="1">
      <c r="A13" s="70"/>
      <c r="B13" s="71"/>
      <c r="C13" s="71"/>
      <c r="D13" s="69"/>
      <c r="E13" s="17"/>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row>
    <row r="14" spans="1:33">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row>
    <row r="15" spans="1:33" ht="40.5" customHeight="1">
      <c r="A15" s="78" t="s">
        <v>1</v>
      </c>
      <c r="B15" s="62"/>
      <c r="C15" s="63"/>
      <c r="D15" s="4"/>
      <c r="E15" s="76" t="s">
        <v>2</v>
      </c>
      <c r="F15" s="62"/>
      <c r="G15" s="63"/>
      <c r="H15" s="4"/>
      <c r="I15" s="4"/>
      <c r="J15" s="4"/>
      <c r="K15" s="4"/>
      <c r="L15" s="4"/>
      <c r="M15" s="4"/>
      <c r="N15" s="4"/>
      <c r="O15" s="4"/>
      <c r="P15" s="4"/>
      <c r="Q15" s="4"/>
      <c r="R15" s="4"/>
      <c r="S15" s="4"/>
      <c r="T15" s="4"/>
      <c r="U15" s="4"/>
      <c r="V15" s="4"/>
      <c r="W15" s="4"/>
      <c r="X15" s="4"/>
      <c r="Y15" s="4"/>
      <c r="Z15" s="4"/>
      <c r="AA15" s="4"/>
      <c r="AB15" s="4"/>
      <c r="AC15" s="4"/>
      <c r="AD15" s="1"/>
      <c r="AE15" s="1"/>
      <c r="AF15" s="1"/>
      <c r="AG15" s="1"/>
    </row>
    <row r="16" spans="1:33">
      <c r="A16" s="6"/>
      <c r="B16" s="43">
        <v>19.600000000000001</v>
      </c>
      <c r="C16" s="41"/>
      <c r="D16" s="41"/>
      <c r="E16" s="41"/>
      <c r="F16" s="41"/>
      <c r="G16" s="41"/>
      <c r="H16" s="41"/>
      <c r="I16" s="41"/>
      <c r="J16" s="41"/>
      <c r="K16" s="1"/>
      <c r="L16" s="1"/>
      <c r="M16" s="1"/>
      <c r="N16" s="1"/>
      <c r="O16" s="1"/>
      <c r="P16" s="1"/>
      <c r="Q16" s="1"/>
      <c r="R16" s="1"/>
      <c r="S16" s="1"/>
      <c r="T16" s="1"/>
      <c r="U16" s="1"/>
      <c r="V16" s="1"/>
      <c r="W16" s="1"/>
      <c r="X16" s="1"/>
      <c r="Y16" s="1"/>
      <c r="Z16" s="1"/>
      <c r="AA16" s="1"/>
      <c r="AB16" s="1"/>
      <c r="AC16" s="1"/>
      <c r="AD16" s="1"/>
      <c r="AE16" s="1"/>
      <c r="AF16" s="1"/>
      <c r="AG16" s="1"/>
    </row>
    <row r="17" spans="1:33">
      <c r="A17" s="41"/>
      <c r="B17" s="27">
        <v>22.4</v>
      </c>
      <c r="C17" s="28"/>
      <c r="D17" s="28"/>
      <c r="E17" s="28"/>
      <c r="F17" s="28"/>
      <c r="G17" s="28"/>
      <c r="H17" s="28"/>
      <c r="I17" s="28"/>
      <c r="J17" s="41"/>
      <c r="K17" s="1"/>
      <c r="L17" s="1"/>
      <c r="M17" s="1"/>
      <c r="N17" s="1"/>
      <c r="O17" s="1"/>
      <c r="P17" s="1"/>
      <c r="Q17" s="1"/>
      <c r="R17" s="1"/>
      <c r="S17" s="1"/>
      <c r="T17" s="1"/>
      <c r="U17" s="1"/>
      <c r="V17" s="1"/>
      <c r="W17" s="1"/>
      <c r="X17" s="1"/>
      <c r="Y17" s="1"/>
      <c r="Z17" s="1"/>
      <c r="AA17" s="1"/>
      <c r="AB17" s="1"/>
      <c r="AC17" s="1"/>
      <c r="AD17" s="1"/>
      <c r="AE17" s="1"/>
      <c r="AF17" s="1"/>
      <c r="AG17" s="1"/>
    </row>
    <row r="18" spans="1:33">
      <c r="A18" s="41"/>
      <c r="B18" s="27">
        <v>24.5</v>
      </c>
      <c r="C18" s="28"/>
      <c r="D18" s="28"/>
      <c r="E18" s="28"/>
      <c r="F18" s="28"/>
      <c r="G18" s="28"/>
      <c r="H18" s="28"/>
      <c r="I18" s="28"/>
      <c r="J18" s="41"/>
      <c r="K18" s="1"/>
      <c r="L18" s="1"/>
      <c r="M18" s="1"/>
      <c r="N18" s="1"/>
      <c r="O18" s="1"/>
      <c r="P18" s="1"/>
      <c r="Q18" s="1"/>
      <c r="R18" s="1"/>
      <c r="S18" s="1"/>
      <c r="T18" s="1"/>
      <c r="U18" s="1"/>
      <c r="V18" s="1"/>
      <c r="W18" s="1"/>
      <c r="X18" s="1"/>
      <c r="Y18" s="1"/>
      <c r="Z18" s="1"/>
      <c r="AA18" s="1"/>
      <c r="AB18" s="1"/>
      <c r="AC18" s="1"/>
      <c r="AD18" s="1"/>
      <c r="AE18" s="1"/>
      <c r="AF18" s="1"/>
      <c r="AG18" s="1"/>
    </row>
    <row r="19" spans="1:33">
      <c r="A19" s="41"/>
      <c r="B19" s="27">
        <v>20.3</v>
      </c>
      <c r="C19" s="28"/>
      <c r="D19" s="28"/>
      <c r="E19" s="28"/>
      <c r="F19" s="28"/>
      <c r="G19" s="28"/>
      <c r="H19" s="28"/>
      <c r="I19" s="28" t="s">
        <v>8</v>
      </c>
      <c r="J19" s="41"/>
      <c r="K19" s="1"/>
      <c r="L19" s="1"/>
      <c r="M19" s="1"/>
      <c r="N19" s="1"/>
      <c r="O19" s="1"/>
      <c r="P19" s="1"/>
      <c r="Q19" s="1"/>
      <c r="R19" s="1"/>
      <c r="S19" s="1"/>
      <c r="T19" s="1"/>
      <c r="U19" s="1"/>
      <c r="V19" s="1"/>
      <c r="W19" s="1"/>
      <c r="X19" s="1"/>
      <c r="Y19" s="1"/>
      <c r="Z19" s="1"/>
      <c r="AA19" s="1"/>
      <c r="AB19" s="1"/>
      <c r="AC19" s="1"/>
      <c r="AD19" s="1"/>
      <c r="AE19" s="1"/>
      <c r="AF19" s="1"/>
      <c r="AG19" s="1"/>
    </row>
    <row r="20" spans="1:33">
      <c r="A20" s="35"/>
      <c r="B20" s="27">
        <v>21.7</v>
      </c>
      <c r="C20" s="29" t="s">
        <v>10</v>
      </c>
      <c r="D20" s="29" t="s">
        <v>11</v>
      </c>
      <c r="E20" s="29" t="s">
        <v>12</v>
      </c>
      <c r="F20" s="29" t="s">
        <v>13</v>
      </c>
      <c r="G20" s="28"/>
      <c r="H20" s="28" t="s">
        <v>14</v>
      </c>
      <c r="I20" s="28">
        <v>0.7</v>
      </c>
      <c r="J20" s="41"/>
      <c r="K20" s="6">
        <v>0.1</v>
      </c>
      <c r="L20" s="1"/>
      <c r="M20" s="7">
        <v>0.1</v>
      </c>
      <c r="N20" s="1"/>
      <c r="O20" s="1"/>
      <c r="P20" s="1"/>
      <c r="Q20" s="1"/>
      <c r="R20" s="1"/>
      <c r="S20" s="1"/>
      <c r="T20" s="1"/>
      <c r="U20" s="1"/>
      <c r="V20" s="1"/>
      <c r="W20" s="1"/>
      <c r="X20" s="1"/>
      <c r="Y20" s="1"/>
      <c r="Z20" s="1"/>
      <c r="AA20" s="1"/>
      <c r="AB20" s="1"/>
      <c r="AC20" s="1"/>
      <c r="AD20" s="1"/>
      <c r="AE20" s="1"/>
      <c r="AF20" s="1"/>
      <c r="AG20" s="1"/>
    </row>
    <row r="21" spans="1:33" ht="15.75" customHeight="1">
      <c r="A21" s="41" t="s">
        <v>15</v>
      </c>
      <c r="B21" s="30">
        <v>28</v>
      </c>
      <c r="C21" s="28">
        <v>900</v>
      </c>
      <c r="D21" s="30">
        <f>B21*(1+I22)*I20</f>
        <v>27.439999999999994</v>
      </c>
      <c r="E21" s="30">
        <f t="shared" ref="E21:E25" si="0">D21-B21</f>
        <v>-0.56000000000000583</v>
      </c>
      <c r="F21" s="30">
        <f t="shared" ref="F21:F25" si="1">E21*C21</f>
        <v>-504.00000000000523</v>
      </c>
      <c r="G21" s="28"/>
      <c r="H21" s="28"/>
      <c r="I21" s="28"/>
      <c r="J21" s="41"/>
      <c r="K21" s="6">
        <v>0.2</v>
      </c>
      <c r="L21" s="1"/>
      <c r="M21" s="7">
        <v>0.2</v>
      </c>
      <c r="N21" s="1"/>
      <c r="O21" s="1"/>
      <c r="P21" s="1"/>
      <c r="Q21" s="1"/>
      <c r="R21" s="1"/>
      <c r="S21" s="1"/>
      <c r="T21" s="1"/>
      <c r="U21" s="1"/>
      <c r="V21" s="1"/>
      <c r="W21" s="1"/>
      <c r="X21" s="1"/>
      <c r="Y21" s="1"/>
      <c r="Z21" s="1"/>
      <c r="AA21" s="1"/>
      <c r="AB21" s="1"/>
      <c r="AC21" s="1"/>
      <c r="AD21" s="1"/>
      <c r="AE21" s="1"/>
      <c r="AF21" s="1"/>
      <c r="AG21" s="1"/>
    </row>
    <row r="22" spans="1:33" ht="15.75" customHeight="1">
      <c r="A22" s="41" t="s">
        <v>16</v>
      </c>
      <c r="B22" s="30">
        <v>32</v>
      </c>
      <c r="C22" s="28">
        <v>850</v>
      </c>
      <c r="D22" s="30">
        <f>B22*(1+I22)*I20</f>
        <v>31.359999999999996</v>
      </c>
      <c r="E22" s="30">
        <f t="shared" si="0"/>
        <v>-0.64000000000000412</v>
      </c>
      <c r="F22" s="30">
        <f t="shared" si="1"/>
        <v>-544.00000000000352</v>
      </c>
      <c r="G22" s="28"/>
      <c r="H22" s="28" t="s">
        <v>17</v>
      </c>
      <c r="I22" s="31">
        <v>0.4</v>
      </c>
      <c r="J22" s="41"/>
      <c r="K22" s="6">
        <v>0.3</v>
      </c>
      <c r="L22" s="1"/>
      <c r="M22" s="7">
        <v>0.3</v>
      </c>
      <c r="N22" s="1"/>
      <c r="O22" s="1"/>
      <c r="P22" s="1"/>
      <c r="Q22" s="1"/>
      <c r="R22" s="1"/>
      <c r="S22" s="1"/>
      <c r="T22" s="1"/>
      <c r="U22" s="1"/>
      <c r="V22" s="1"/>
      <c r="W22" s="1"/>
      <c r="X22" s="1"/>
      <c r="Y22" s="1"/>
      <c r="Z22" s="1"/>
      <c r="AA22" s="1"/>
      <c r="AB22" s="1"/>
      <c r="AC22" s="1"/>
      <c r="AD22" s="1"/>
      <c r="AE22" s="1"/>
      <c r="AF22" s="1"/>
      <c r="AG22" s="1"/>
    </row>
    <row r="23" spans="1:33" ht="15.75" customHeight="1">
      <c r="A23" s="41" t="s">
        <v>18</v>
      </c>
      <c r="B23" s="30">
        <v>35</v>
      </c>
      <c r="C23" s="28">
        <v>875</v>
      </c>
      <c r="D23" s="30">
        <f>B23*(1+I22)*I20</f>
        <v>34.299999999999997</v>
      </c>
      <c r="E23" s="30">
        <f t="shared" si="0"/>
        <v>-0.70000000000000284</v>
      </c>
      <c r="F23" s="30">
        <f t="shared" si="1"/>
        <v>-612.5000000000025</v>
      </c>
      <c r="G23" s="28"/>
      <c r="H23" s="28"/>
      <c r="I23" s="28"/>
      <c r="J23" s="41"/>
      <c r="K23" s="6">
        <v>0.4</v>
      </c>
      <c r="L23" s="1"/>
      <c r="M23" s="7">
        <v>0.4</v>
      </c>
      <c r="N23" s="1"/>
      <c r="O23" s="1"/>
      <c r="P23" s="1"/>
      <c r="Q23" s="1"/>
      <c r="R23" s="1"/>
      <c r="S23" s="1"/>
      <c r="T23" s="1"/>
      <c r="U23" s="1"/>
      <c r="V23" s="1"/>
      <c r="W23" s="1"/>
      <c r="X23" s="1"/>
      <c r="Y23" s="1"/>
      <c r="Z23" s="1"/>
      <c r="AA23" s="1"/>
      <c r="AB23" s="1"/>
      <c r="AC23" s="1"/>
      <c r="AD23" s="1"/>
      <c r="AE23" s="1"/>
      <c r="AF23" s="1"/>
      <c r="AG23" s="1"/>
    </row>
    <row r="24" spans="1:33" ht="15.75" customHeight="1">
      <c r="A24" s="41" t="s">
        <v>19</v>
      </c>
      <c r="B24" s="30">
        <v>29</v>
      </c>
      <c r="C24" s="28">
        <v>825</v>
      </c>
      <c r="D24" s="30">
        <f>B24*(1+I22)*I20</f>
        <v>28.419999999999995</v>
      </c>
      <c r="E24" s="30">
        <f t="shared" si="0"/>
        <v>-0.5800000000000054</v>
      </c>
      <c r="F24" s="30">
        <f t="shared" si="1"/>
        <v>-478.50000000000443</v>
      </c>
      <c r="G24" s="42"/>
      <c r="H24" s="42"/>
      <c r="I24" s="42"/>
      <c r="J24" s="41"/>
      <c r="K24" s="6">
        <v>0.5</v>
      </c>
      <c r="L24" s="1"/>
      <c r="M24" s="7">
        <v>0.5</v>
      </c>
      <c r="N24" s="1"/>
      <c r="O24" s="1"/>
      <c r="P24" s="1"/>
      <c r="Q24" s="1"/>
      <c r="R24" s="1"/>
      <c r="S24" s="1"/>
      <c r="T24" s="1"/>
      <c r="U24" s="1"/>
      <c r="V24" s="1"/>
      <c r="W24" s="1"/>
      <c r="X24" s="1"/>
      <c r="Y24" s="1"/>
      <c r="Z24" s="1"/>
      <c r="AA24" s="1"/>
      <c r="AB24" s="1"/>
      <c r="AC24" s="1"/>
      <c r="AD24" s="1"/>
      <c r="AE24" s="1"/>
      <c r="AF24" s="1"/>
      <c r="AG24" s="1"/>
    </row>
    <row r="25" spans="1:33" ht="15.75" customHeight="1">
      <c r="A25" s="41" t="s">
        <v>20</v>
      </c>
      <c r="B25" s="30">
        <v>31</v>
      </c>
      <c r="C25" s="28">
        <v>700</v>
      </c>
      <c r="D25" s="30">
        <f>B25*(1+I22)*I20</f>
        <v>30.379999999999995</v>
      </c>
      <c r="E25" s="30">
        <f t="shared" si="0"/>
        <v>-0.62000000000000455</v>
      </c>
      <c r="F25" s="30">
        <f t="shared" si="1"/>
        <v>-434.00000000000318</v>
      </c>
      <c r="G25" s="42"/>
      <c r="H25" s="42"/>
      <c r="I25" s="42"/>
      <c r="J25" s="41"/>
      <c r="K25" s="6">
        <v>0.6</v>
      </c>
      <c r="L25" s="1"/>
      <c r="M25" s="7">
        <v>0.6</v>
      </c>
      <c r="N25" s="1"/>
      <c r="O25" s="1"/>
      <c r="P25" s="1"/>
      <c r="Q25" s="1"/>
      <c r="R25" s="1"/>
      <c r="S25" s="1"/>
      <c r="T25" s="1"/>
      <c r="U25" s="1"/>
      <c r="V25" s="1"/>
      <c r="W25" s="1"/>
      <c r="X25" s="1"/>
      <c r="Y25" s="1"/>
      <c r="Z25" s="1"/>
      <c r="AA25" s="1"/>
      <c r="AB25" s="1"/>
      <c r="AC25" s="1"/>
      <c r="AD25" s="1"/>
      <c r="AE25" s="1"/>
      <c r="AF25" s="1"/>
      <c r="AG25" s="1"/>
    </row>
    <row r="26" spans="1:33" ht="15.75" customHeight="1">
      <c r="A26" s="41"/>
      <c r="B26" s="28"/>
      <c r="C26" s="28"/>
      <c r="D26" s="28"/>
      <c r="E26" s="28"/>
      <c r="F26" s="30">
        <f>SUM(F21:F25)</f>
        <v>-2573.0000000000186</v>
      </c>
      <c r="G26" s="28"/>
      <c r="H26" s="42"/>
      <c r="I26" s="42"/>
      <c r="J26" s="41"/>
      <c r="K26" s="6">
        <v>0.7</v>
      </c>
      <c r="L26" s="1"/>
      <c r="M26" s="7">
        <v>0.7</v>
      </c>
      <c r="N26" s="1"/>
      <c r="O26" s="1"/>
      <c r="P26" s="1"/>
      <c r="Q26" s="1"/>
      <c r="R26" s="1"/>
      <c r="S26" s="1"/>
      <c r="T26" s="1"/>
      <c r="U26" s="1"/>
      <c r="V26" s="1"/>
      <c r="W26" s="1"/>
      <c r="X26" s="1"/>
      <c r="Y26" s="1"/>
      <c r="Z26" s="1"/>
      <c r="AA26" s="1"/>
      <c r="AB26" s="1"/>
      <c r="AC26" s="1"/>
      <c r="AD26" s="1"/>
      <c r="AE26" s="1"/>
      <c r="AF26" s="1"/>
      <c r="AG26" s="1"/>
    </row>
    <row r="27" spans="1:33" ht="15.75" customHeight="1">
      <c r="A27" s="1"/>
      <c r="B27" s="28"/>
      <c r="C27" s="28"/>
      <c r="D27" s="28"/>
      <c r="E27" s="28"/>
      <c r="F27" s="28"/>
      <c r="G27" s="28"/>
      <c r="H27" s="42"/>
      <c r="I27" s="42"/>
      <c r="J27" s="41"/>
      <c r="K27" s="6">
        <v>0.8</v>
      </c>
      <c r="L27" s="1"/>
      <c r="M27" s="7">
        <v>0.8</v>
      </c>
      <c r="N27" s="1"/>
      <c r="O27" s="1"/>
      <c r="P27" s="1"/>
      <c r="Q27" s="1"/>
      <c r="R27" s="1"/>
      <c r="S27" s="1"/>
      <c r="T27" s="1"/>
      <c r="U27" s="1"/>
      <c r="V27" s="1"/>
      <c r="W27" s="1"/>
      <c r="X27" s="1"/>
      <c r="Y27" s="1"/>
      <c r="Z27" s="1"/>
      <c r="AA27" s="1"/>
      <c r="AB27" s="1"/>
      <c r="AC27" s="1"/>
      <c r="AD27" s="1"/>
      <c r="AE27" s="1"/>
      <c r="AF27" s="1"/>
      <c r="AG27" s="1"/>
    </row>
    <row r="28" spans="1:33" ht="15.75" customHeight="1">
      <c r="A28" s="19"/>
      <c r="B28" s="29" t="s">
        <v>21</v>
      </c>
      <c r="C28" s="29" t="s">
        <v>10</v>
      </c>
      <c r="D28" s="29" t="s">
        <v>29</v>
      </c>
      <c r="E28" s="29" t="s">
        <v>24</v>
      </c>
      <c r="F28" s="29" t="s">
        <v>27</v>
      </c>
      <c r="G28" s="28"/>
      <c r="H28" s="42"/>
      <c r="I28" s="42"/>
      <c r="J28" s="41"/>
      <c r="K28" s="6">
        <v>0.9</v>
      </c>
      <c r="L28" s="1"/>
      <c r="M28" s="7">
        <v>0.9</v>
      </c>
      <c r="N28" s="1"/>
      <c r="O28" s="1"/>
      <c r="P28" s="1"/>
      <c r="Q28" s="1"/>
      <c r="R28" s="1"/>
      <c r="S28" s="1"/>
      <c r="T28" s="1"/>
      <c r="U28" s="1"/>
      <c r="V28" s="1"/>
      <c r="W28" s="1"/>
      <c r="X28" s="1"/>
      <c r="Y28" s="1"/>
      <c r="Z28" s="1"/>
      <c r="AA28" s="1"/>
      <c r="AB28" s="1"/>
      <c r="AC28" s="1"/>
      <c r="AD28" s="1"/>
      <c r="AE28" s="1"/>
      <c r="AF28" s="1"/>
      <c r="AG28" s="1"/>
    </row>
    <row r="29" spans="1:33" ht="15.75" customHeight="1">
      <c r="A29" s="1"/>
      <c r="B29" s="28" t="s">
        <v>15</v>
      </c>
      <c r="C29" s="32">
        <f>IF((900+(27.44-D29)*10*20),(900+(27.44-D29)*10*20))</f>
        <v>900.00000000000136</v>
      </c>
      <c r="D29" s="27">
        <f>B21*(1+I22)*I20</f>
        <v>27.439999999999994</v>
      </c>
      <c r="E29" s="27">
        <f t="shared" ref="E29:E33" si="2">D29-B16</f>
        <v>7.8399999999999928</v>
      </c>
      <c r="F29" s="27">
        <f t="shared" ref="F29:F33" si="3">E29*C29</f>
        <v>7056.0000000000045</v>
      </c>
      <c r="G29" s="28"/>
      <c r="H29" s="42"/>
      <c r="I29" s="42"/>
      <c r="J29" s="41"/>
      <c r="K29" s="6">
        <v>1</v>
      </c>
      <c r="L29" s="1"/>
      <c r="M29" s="1"/>
      <c r="N29" s="1"/>
      <c r="O29" s="1"/>
      <c r="P29" s="1"/>
      <c r="Q29" s="1"/>
      <c r="R29" s="1"/>
      <c r="S29" s="1"/>
      <c r="T29" s="1"/>
      <c r="U29" s="1"/>
      <c r="V29" s="1"/>
      <c r="W29" s="1"/>
      <c r="X29" s="1"/>
      <c r="Y29" s="1"/>
      <c r="Z29" s="1"/>
      <c r="AA29" s="1"/>
      <c r="AB29" s="1"/>
      <c r="AC29" s="1"/>
      <c r="AD29" s="1"/>
      <c r="AE29" s="1"/>
      <c r="AF29" s="1"/>
      <c r="AG29" s="1"/>
    </row>
    <row r="30" spans="1:33" ht="15.75" customHeight="1">
      <c r="A30" s="1"/>
      <c r="B30" s="28" t="s">
        <v>16</v>
      </c>
      <c r="C30" s="32">
        <f>IF((850+(31.36-D30)*10*20),(850+(31.36-D30)*10*20))</f>
        <v>850.00000000000068</v>
      </c>
      <c r="D30" s="27">
        <f>B22*(1+I22)*I20</f>
        <v>31.359999999999996</v>
      </c>
      <c r="E30" s="27">
        <f t="shared" si="2"/>
        <v>8.9599999999999973</v>
      </c>
      <c r="F30" s="27">
        <f t="shared" si="3"/>
        <v>7616.0000000000036</v>
      </c>
      <c r="G30" s="28"/>
      <c r="H30" s="42"/>
      <c r="I30" s="42"/>
      <c r="J30" s="41"/>
      <c r="K30" s="6">
        <v>1.1000000000000001</v>
      </c>
      <c r="L30" s="1"/>
      <c r="M30" s="1"/>
      <c r="N30" s="1"/>
      <c r="O30" s="1"/>
      <c r="P30" s="1"/>
      <c r="Q30" s="1"/>
      <c r="R30" s="1"/>
      <c r="S30" s="1"/>
      <c r="T30" s="1"/>
      <c r="U30" s="1"/>
      <c r="V30" s="1"/>
      <c r="W30" s="1"/>
      <c r="X30" s="1"/>
      <c r="Y30" s="1"/>
      <c r="Z30" s="1"/>
      <c r="AA30" s="1"/>
      <c r="AB30" s="1"/>
      <c r="AC30" s="1"/>
      <c r="AD30" s="1"/>
      <c r="AE30" s="1"/>
      <c r="AF30" s="1"/>
      <c r="AG30" s="1"/>
    </row>
    <row r="31" spans="1:33" ht="15.75" customHeight="1">
      <c r="A31" s="1"/>
      <c r="B31" s="28" t="s">
        <v>18</v>
      </c>
      <c r="C31" s="32">
        <f>IF((875+(34.3-D31)*10*20),(875+(34.3-D31)*10*20))</f>
        <v>875</v>
      </c>
      <c r="D31" s="27">
        <f>B23*(1+I22)*I20</f>
        <v>34.299999999999997</v>
      </c>
      <c r="E31" s="27">
        <f t="shared" si="2"/>
        <v>9.7999999999999972</v>
      </c>
      <c r="F31" s="27">
        <f t="shared" si="3"/>
        <v>8574.9999999999982</v>
      </c>
      <c r="G31" s="28"/>
      <c r="H31" s="42"/>
      <c r="I31" s="42"/>
      <c r="J31" s="41"/>
      <c r="K31" s="6">
        <v>1.2</v>
      </c>
      <c r="L31" s="1"/>
      <c r="M31" s="1"/>
      <c r="N31" s="1"/>
      <c r="O31" s="1"/>
      <c r="P31" s="1"/>
      <c r="Q31" s="1"/>
      <c r="R31" s="1"/>
      <c r="S31" s="1"/>
      <c r="T31" s="1"/>
      <c r="U31" s="1"/>
      <c r="V31" s="1"/>
      <c r="W31" s="1"/>
      <c r="X31" s="1"/>
      <c r="Y31" s="1"/>
      <c r="Z31" s="1"/>
      <c r="AA31" s="1"/>
      <c r="AB31" s="1"/>
      <c r="AC31" s="1"/>
      <c r="AD31" s="1"/>
      <c r="AE31" s="1"/>
      <c r="AF31" s="1"/>
      <c r="AG31" s="1"/>
    </row>
    <row r="32" spans="1:33" ht="15.75" customHeight="1">
      <c r="A32" s="1"/>
      <c r="B32" s="28" t="s">
        <v>19</v>
      </c>
      <c r="C32" s="32">
        <f>IF((825+(28.42-D32)*10*20),(825+(28.42-D32)*10*20))</f>
        <v>825.00000000000136</v>
      </c>
      <c r="D32" s="27">
        <f>B24*(1+I22)*I20</f>
        <v>28.419999999999995</v>
      </c>
      <c r="E32" s="27">
        <f t="shared" si="2"/>
        <v>8.1199999999999939</v>
      </c>
      <c r="F32" s="27">
        <f t="shared" si="3"/>
        <v>6699.0000000000064</v>
      </c>
      <c r="G32" s="28"/>
      <c r="H32" s="42"/>
      <c r="I32" s="42"/>
      <c r="J32" s="41"/>
      <c r="K32" s="6">
        <v>1.3</v>
      </c>
      <c r="L32" s="1"/>
      <c r="M32" s="1"/>
      <c r="N32" s="1"/>
      <c r="O32" s="1"/>
      <c r="P32" s="1"/>
      <c r="Q32" s="1"/>
      <c r="R32" s="1"/>
      <c r="S32" s="1"/>
      <c r="T32" s="1"/>
      <c r="U32" s="1"/>
      <c r="V32" s="1"/>
      <c r="W32" s="1"/>
      <c r="X32" s="1"/>
      <c r="Y32" s="1"/>
      <c r="Z32" s="1"/>
      <c r="AA32" s="1"/>
      <c r="AB32" s="1"/>
      <c r="AC32" s="1"/>
      <c r="AD32" s="1"/>
      <c r="AE32" s="1"/>
      <c r="AF32" s="1"/>
      <c r="AG32" s="1"/>
    </row>
    <row r="33" spans="1:33" ht="15.75" customHeight="1">
      <c r="A33" s="1"/>
      <c r="B33" s="28" t="s">
        <v>20</v>
      </c>
      <c r="C33" s="32">
        <f>IF((700+(30.38-D33)*10*20),(700+(30.38-D33)*10*20))</f>
        <v>700.00000000000068</v>
      </c>
      <c r="D33" s="27">
        <f>B25*(1+I22)*I20</f>
        <v>30.379999999999995</v>
      </c>
      <c r="E33" s="27">
        <f t="shared" si="2"/>
        <v>8.6799999999999962</v>
      </c>
      <c r="F33" s="27">
        <f t="shared" si="3"/>
        <v>6076.0000000000036</v>
      </c>
      <c r="G33" s="28"/>
      <c r="H33" s="42"/>
      <c r="I33" s="42"/>
      <c r="J33" s="41"/>
      <c r="K33" s="6">
        <v>1.4</v>
      </c>
      <c r="L33" s="1"/>
      <c r="M33" s="1"/>
      <c r="N33" s="1"/>
      <c r="O33" s="1"/>
      <c r="P33" s="1"/>
      <c r="Q33" s="1"/>
      <c r="R33" s="1"/>
      <c r="S33" s="1"/>
      <c r="T33" s="1"/>
      <c r="U33" s="1"/>
      <c r="V33" s="1"/>
      <c r="W33" s="1"/>
      <c r="X33" s="1"/>
      <c r="Y33" s="1"/>
      <c r="Z33" s="1"/>
      <c r="AA33" s="1"/>
      <c r="AB33" s="1"/>
      <c r="AC33" s="1"/>
      <c r="AD33" s="1"/>
      <c r="AE33" s="1"/>
      <c r="AF33" s="1"/>
      <c r="AG33" s="1"/>
    </row>
    <row r="34" spans="1:33" ht="15.75" customHeight="1">
      <c r="A34" s="1"/>
      <c r="B34" s="28"/>
      <c r="C34" s="28"/>
      <c r="D34" s="28"/>
      <c r="E34" s="28" t="s">
        <v>13</v>
      </c>
      <c r="F34" s="27">
        <f>SUM(F29:F33)</f>
        <v>36022.000000000015</v>
      </c>
      <c r="G34" s="28"/>
      <c r="H34" s="28"/>
      <c r="I34" s="28"/>
      <c r="J34" s="41"/>
      <c r="K34" s="6">
        <v>1.5</v>
      </c>
      <c r="L34" s="1"/>
      <c r="M34" s="1"/>
      <c r="N34" s="1"/>
      <c r="O34" s="1"/>
      <c r="P34" s="1"/>
      <c r="Q34" s="1"/>
      <c r="R34" s="1"/>
      <c r="S34" s="1"/>
      <c r="T34" s="1"/>
      <c r="U34" s="1"/>
      <c r="V34" s="1"/>
      <c r="W34" s="1"/>
      <c r="X34" s="1"/>
      <c r="Y34" s="1"/>
      <c r="Z34" s="1"/>
      <c r="AA34" s="1"/>
      <c r="AB34" s="1"/>
      <c r="AC34" s="1"/>
      <c r="AD34" s="1"/>
      <c r="AE34" s="1"/>
      <c r="AF34" s="1"/>
      <c r="AG34" s="1"/>
    </row>
    <row r="35" spans="1:33" ht="15.75" customHeight="1">
      <c r="A35" s="1"/>
      <c r="B35" s="1"/>
      <c r="C35" s="1"/>
      <c r="D35" s="1"/>
      <c r="E35" s="1"/>
      <c r="F35" s="1"/>
      <c r="G35" s="1"/>
      <c r="H35" s="1"/>
      <c r="I35" s="1"/>
      <c r="J35" s="1"/>
      <c r="K35" s="6">
        <v>1.6</v>
      </c>
      <c r="L35" s="1"/>
      <c r="M35" s="1"/>
      <c r="N35" s="1"/>
      <c r="O35" s="1"/>
      <c r="P35" s="1"/>
      <c r="Q35" s="1"/>
      <c r="R35" s="1"/>
      <c r="S35" s="1"/>
      <c r="T35" s="1"/>
      <c r="U35" s="1"/>
      <c r="V35" s="1"/>
      <c r="W35" s="1"/>
      <c r="X35" s="1"/>
      <c r="Y35" s="1"/>
      <c r="Z35" s="1"/>
      <c r="AA35" s="1"/>
      <c r="AB35" s="1"/>
      <c r="AC35" s="1"/>
      <c r="AD35" s="1"/>
      <c r="AE35" s="1"/>
      <c r="AF35" s="1"/>
      <c r="AG35" s="1"/>
    </row>
    <row r="36" spans="1:33" ht="15.75" customHeight="1">
      <c r="A36" s="1"/>
      <c r="B36" s="1"/>
      <c r="C36" s="1"/>
      <c r="D36" s="1"/>
      <c r="E36" s="1"/>
      <c r="F36" s="1"/>
      <c r="G36" s="1"/>
      <c r="H36" s="1"/>
      <c r="I36" s="1"/>
      <c r="J36" s="1"/>
      <c r="K36" s="6">
        <v>1.7</v>
      </c>
      <c r="L36" s="1"/>
      <c r="M36" s="1"/>
      <c r="N36" s="1"/>
      <c r="O36" s="1"/>
      <c r="P36" s="1"/>
      <c r="Q36" s="1"/>
      <c r="R36" s="1"/>
      <c r="S36" s="1"/>
      <c r="T36" s="1"/>
      <c r="U36" s="1"/>
      <c r="V36" s="1"/>
      <c r="W36" s="1"/>
      <c r="X36" s="1"/>
      <c r="Y36" s="1"/>
      <c r="Z36" s="1"/>
      <c r="AA36" s="1"/>
      <c r="AB36" s="1"/>
      <c r="AC36" s="1"/>
      <c r="AD36" s="1"/>
      <c r="AE36" s="1"/>
      <c r="AF36" s="1"/>
      <c r="AG36" s="1"/>
    </row>
    <row r="37" spans="1:33" ht="15.75" customHeight="1">
      <c r="A37" s="1"/>
      <c r="B37" s="1"/>
      <c r="C37" s="1"/>
      <c r="D37" s="1"/>
      <c r="E37" s="1"/>
      <c r="F37" s="22"/>
      <c r="G37" s="1"/>
      <c r="H37" s="1"/>
      <c r="I37" s="1"/>
      <c r="J37" s="1"/>
      <c r="K37" s="6">
        <v>1.8</v>
      </c>
      <c r="L37" s="1"/>
      <c r="M37" s="1"/>
      <c r="N37" s="1"/>
      <c r="O37" s="1"/>
      <c r="P37" s="1"/>
      <c r="Q37" s="1"/>
      <c r="R37" s="1"/>
      <c r="S37" s="1"/>
      <c r="T37" s="1"/>
      <c r="U37" s="1"/>
      <c r="V37" s="1"/>
      <c r="W37" s="1"/>
      <c r="X37" s="1"/>
      <c r="Y37" s="1"/>
      <c r="Z37" s="1"/>
      <c r="AA37" s="1"/>
      <c r="AB37" s="1"/>
      <c r="AC37" s="1"/>
      <c r="AD37" s="1"/>
      <c r="AE37" s="1"/>
      <c r="AF37" s="1"/>
      <c r="AG37" s="1"/>
    </row>
    <row r="38" spans="1:33" ht="15.75" customHeight="1">
      <c r="A38" s="1"/>
      <c r="B38" s="1"/>
      <c r="C38" s="1"/>
      <c r="D38" s="1"/>
      <c r="E38" s="1"/>
      <c r="F38" s="1"/>
      <c r="G38" s="1"/>
      <c r="H38" s="1"/>
      <c r="I38" s="1"/>
      <c r="J38" s="1"/>
      <c r="K38" s="6">
        <v>1.9</v>
      </c>
      <c r="L38" s="1"/>
      <c r="M38" s="1"/>
      <c r="N38" s="1"/>
      <c r="O38" s="1"/>
      <c r="P38" s="1"/>
      <c r="Q38" s="1"/>
      <c r="R38" s="1"/>
      <c r="S38" s="1"/>
      <c r="T38" s="1"/>
      <c r="U38" s="1"/>
      <c r="V38" s="1"/>
      <c r="W38" s="1"/>
      <c r="X38" s="1"/>
      <c r="Y38" s="1"/>
      <c r="Z38" s="1"/>
      <c r="AA38" s="1"/>
      <c r="AB38" s="1"/>
      <c r="AC38" s="1"/>
      <c r="AD38" s="1"/>
      <c r="AE38" s="1"/>
      <c r="AF38" s="1"/>
      <c r="AG38" s="1"/>
    </row>
    <row r="39" spans="1:33" ht="15.75" customHeight="1">
      <c r="A39" s="1"/>
      <c r="B39" s="1"/>
      <c r="C39" s="1"/>
      <c r="D39" s="1"/>
      <c r="E39" s="1"/>
      <c r="F39" s="1"/>
      <c r="G39" s="1"/>
      <c r="H39" s="1"/>
      <c r="I39" s="1"/>
      <c r="J39" s="1"/>
      <c r="K39" s="6">
        <v>2</v>
      </c>
      <c r="L39" s="1"/>
      <c r="M39" s="1"/>
      <c r="N39" s="1"/>
      <c r="O39" s="1"/>
      <c r="P39" s="1"/>
      <c r="Q39" s="1"/>
      <c r="R39" s="1"/>
      <c r="S39" s="1"/>
      <c r="T39" s="1"/>
      <c r="U39" s="1"/>
      <c r="V39" s="1"/>
      <c r="W39" s="1"/>
      <c r="X39" s="1"/>
      <c r="Y39" s="1"/>
      <c r="Z39" s="1"/>
      <c r="AA39" s="1"/>
      <c r="AB39" s="1"/>
      <c r="AC39" s="1"/>
      <c r="AD39" s="1"/>
      <c r="AE39" s="1"/>
      <c r="AF39" s="1"/>
      <c r="AG39" s="1"/>
    </row>
    <row r="40" spans="1:33" ht="15.75" customHeight="1">
      <c r="A40" s="1"/>
      <c r="B40" s="1"/>
      <c r="C40" s="1"/>
      <c r="D40" s="23"/>
      <c r="E40" s="1"/>
      <c r="F40" s="1"/>
      <c r="G40" s="1"/>
      <c r="H40" s="1"/>
      <c r="I40" s="1"/>
      <c r="J40" s="1"/>
      <c r="K40" s="6">
        <v>2.1</v>
      </c>
      <c r="L40" s="1"/>
      <c r="M40" s="1"/>
      <c r="N40" s="1"/>
      <c r="O40" s="1"/>
      <c r="P40" s="1"/>
      <c r="Q40" s="1"/>
      <c r="R40" s="1"/>
      <c r="S40" s="1"/>
      <c r="T40" s="1"/>
      <c r="U40" s="1"/>
      <c r="V40" s="1"/>
      <c r="W40" s="1"/>
      <c r="X40" s="1"/>
      <c r="Y40" s="1"/>
      <c r="Z40" s="1"/>
      <c r="AA40" s="1"/>
      <c r="AB40" s="1"/>
      <c r="AC40" s="1"/>
      <c r="AD40" s="1"/>
      <c r="AE40" s="1"/>
      <c r="AF40" s="1"/>
      <c r="AG40" s="1"/>
    </row>
    <row r="41" spans="1:33" ht="15.75" customHeight="1">
      <c r="A41" s="1"/>
      <c r="B41" s="1"/>
      <c r="C41" s="1"/>
      <c r="D41" s="1"/>
      <c r="E41" s="1"/>
      <c r="F41" s="1"/>
      <c r="G41" s="1"/>
      <c r="H41" s="1"/>
      <c r="I41" s="1"/>
      <c r="J41" s="1"/>
      <c r="K41" s="6">
        <v>2.2000000000000002</v>
      </c>
      <c r="L41" s="1"/>
      <c r="M41" s="1"/>
      <c r="N41" s="1"/>
      <c r="O41" s="1"/>
      <c r="P41" s="1"/>
      <c r="Q41" s="1"/>
      <c r="R41" s="1"/>
      <c r="S41" s="1"/>
      <c r="T41" s="1"/>
      <c r="U41" s="1"/>
      <c r="V41" s="1"/>
      <c r="W41" s="1"/>
      <c r="X41" s="1"/>
      <c r="Y41" s="1"/>
      <c r="Z41" s="1"/>
      <c r="AA41" s="1"/>
      <c r="AB41" s="1"/>
      <c r="AC41" s="1"/>
      <c r="AD41" s="1"/>
      <c r="AE41" s="1"/>
      <c r="AF41" s="1"/>
      <c r="AG41" s="1"/>
    </row>
    <row r="42" spans="1:33" ht="15.75" customHeight="1">
      <c r="A42" s="1"/>
      <c r="B42" s="1"/>
      <c r="C42" s="1"/>
      <c r="D42" s="1"/>
      <c r="E42" s="1"/>
      <c r="F42" s="1"/>
      <c r="G42" s="1"/>
      <c r="H42" s="1"/>
      <c r="I42" s="1"/>
      <c r="J42" s="1"/>
      <c r="K42" s="6">
        <v>2.2999999999999998</v>
      </c>
      <c r="L42" s="1"/>
      <c r="M42" s="1"/>
      <c r="N42" s="1"/>
      <c r="O42" s="1"/>
      <c r="P42" s="1"/>
      <c r="Q42" s="1"/>
      <c r="R42" s="1"/>
      <c r="S42" s="1"/>
      <c r="T42" s="1"/>
      <c r="U42" s="1"/>
      <c r="V42" s="1"/>
      <c r="W42" s="1"/>
      <c r="X42" s="1"/>
      <c r="Y42" s="1"/>
      <c r="Z42" s="1"/>
      <c r="AA42" s="1"/>
      <c r="AB42" s="1"/>
      <c r="AC42" s="1"/>
      <c r="AD42" s="1"/>
      <c r="AE42" s="1"/>
      <c r="AF42" s="1"/>
      <c r="AG42" s="1"/>
    </row>
    <row r="43" spans="1:33" ht="15.75" customHeight="1">
      <c r="A43" s="1"/>
      <c r="B43" s="1"/>
      <c r="C43" s="1"/>
      <c r="D43" s="1"/>
      <c r="E43" s="1"/>
      <c r="F43" s="1"/>
      <c r="G43" s="1"/>
      <c r="H43" s="1"/>
      <c r="I43" s="1"/>
      <c r="J43" s="1"/>
      <c r="K43" s="6">
        <v>2.4</v>
      </c>
      <c r="L43" s="1"/>
      <c r="M43" s="1"/>
      <c r="N43" s="1"/>
      <c r="O43" s="1"/>
      <c r="P43" s="1"/>
      <c r="Q43" s="1"/>
      <c r="R43" s="1"/>
      <c r="S43" s="1"/>
      <c r="T43" s="1"/>
      <c r="U43" s="1"/>
      <c r="V43" s="1"/>
      <c r="W43" s="1"/>
      <c r="X43" s="1"/>
      <c r="Y43" s="1"/>
      <c r="Z43" s="1"/>
      <c r="AA43" s="1"/>
      <c r="AB43" s="1"/>
      <c r="AC43" s="1"/>
      <c r="AD43" s="1"/>
      <c r="AE43" s="1"/>
      <c r="AF43" s="1"/>
      <c r="AG43" s="1"/>
    </row>
    <row r="44" spans="1:33" ht="15.75" customHeight="1">
      <c r="A44" s="1"/>
      <c r="B44" s="1"/>
      <c r="C44" s="1"/>
      <c r="D44" s="1"/>
      <c r="E44" s="1"/>
      <c r="F44" s="1"/>
      <c r="G44" s="1"/>
      <c r="H44" s="1"/>
      <c r="I44" s="1"/>
      <c r="J44" s="1"/>
      <c r="K44" s="6">
        <v>2.5</v>
      </c>
      <c r="L44" s="1"/>
      <c r="M44" s="1"/>
      <c r="N44" s="1"/>
      <c r="O44" s="1"/>
      <c r="P44" s="1"/>
      <c r="Q44" s="1"/>
      <c r="R44" s="1"/>
      <c r="S44" s="1"/>
      <c r="T44" s="1"/>
      <c r="U44" s="1"/>
      <c r="V44" s="1"/>
      <c r="W44" s="1"/>
      <c r="X44" s="1"/>
      <c r="Y44" s="1"/>
      <c r="Z44" s="1"/>
      <c r="AA44" s="1"/>
      <c r="AB44" s="1"/>
      <c r="AC44" s="1"/>
      <c r="AD44" s="1"/>
      <c r="AE44" s="1"/>
      <c r="AF44" s="1"/>
      <c r="AG44" s="1"/>
    </row>
    <row r="45" spans="1:33"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row>
    <row r="46" spans="1:33"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row>
    <row r="47" spans="1:33"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row>
    <row r="48" spans="1:33"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row>
    <row r="49" spans="1:33"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row>
    <row r="50" spans="1:33"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row>
    <row r="51" spans="1:33"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row>
    <row r="52" spans="1:33"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row>
    <row r="53" spans="1:33"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row>
    <row r="54" spans="1:33"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row>
    <row r="55" spans="1:33"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row>
    <row r="56" spans="1:33"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row>
    <row r="57" spans="1:33"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row>
    <row r="58" spans="1:33"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row>
    <row r="59" spans="1:33"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row>
    <row r="60" spans="1:33"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row>
    <row r="61" spans="1:33"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row>
    <row r="62" spans="1:33"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row>
    <row r="63" spans="1:33"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row>
    <row r="64" spans="1:33"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row>
    <row r="65" spans="1:33"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row>
    <row r="66" spans="1:33"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row>
    <row r="67" spans="1:33"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row>
    <row r="68" spans="1:33"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row>
    <row r="69" spans="1:33"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row>
    <row r="70" spans="1:33"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row>
    <row r="71" spans="1:33"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row>
    <row r="72" spans="1:33"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row>
    <row r="73" spans="1:33"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row>
    <row r="74" spans="1:33"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row>
    <row r="75" spans="1:33"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row>
    <row r="76" spans="1:33"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row>
    <row r="77" spans="1:33"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row>
    <row r="78" spans="1:33"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row>
    <row r="79" spans="1:33"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row>
    <row r="80" spans="1:33"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row>
    <row r="81" spans="1:33"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row>
    <row r="82" spans="1:33"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row>
    <row r="83" spans="1:33"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row>
    <row r="84" spans="1:33"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row>
    <row r="85" spans="1:33"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row>
    <row r="86" spans="1:33"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row>
    <row r="87" spans="1:33"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row>
    <row r="88" spans="1:33"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row>
    <row r="89" spans="1:33"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row>
    <row r="90" spans="1:33"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row>
    <row r="91" spans="1:33"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row>
    <row r="92" spans="1:33"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row>
    <row r="93" spans="1:33"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row>
    <row r="94" spans="1:33"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row>
    <row r="95" spans="1:33"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row>
    <row r="96" spans="1:33"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row>
    <row r="97" spans="1:33"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row>
    <row r="98" spans="1:33"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row>
    <row r="99" spans="1:33"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row>
    <row r="100" spans="1:33"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row>
    <row r="101" spans="1:33"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row>
    <row r="102" spans="1:33"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row>
    <row r="103" spans="1:33"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row>
    <row r="104" spans="1:33"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row>
    <row r="105" spans="1:33"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row>
    <row r="106" spans="1:33"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row>
    <row r="107" spans="1:33"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row>
    <row r="108" spans="1:33"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row>
    <row r="109" spans="1:33"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row>
    <row r="110" spans="1:33"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row>
    <row r="111" spans="1:33"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row>
    <row r="112" spans="1:33"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row>
    <row r="113" spans="1:33"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row>
    <row r="114" spans="1:33"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row>
    <row r="115" spans="1:33"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row>
    <row r="116" spans="1:33"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row>
    <row r="117" spans="1:33"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row>
    <row r="118" spans="1:33"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row>
    <row r="119" spans="1:33"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row>
    <row r="120" spans="1:33"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row>
    <row r="121" spans="1:33"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row>
    <row r="122" spans="1:33"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row>
    <row r="123" spans="1:33"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row>
    <row r="124" spans="1:33"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row>
    <row r="125" spans="1:33"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row>
    <row r="126" spans="1:33"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row>
    <row r="127" spans="1:33"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row>
    <row r="128" spans="1:33"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row>
    <row r="129" spans="1:33"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row>
    <row r="130" spans="1:33"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row>
    <row r="131" spans="1:33"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row>
    <row r="132" spans="1:33"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row>
    <row r="133" spans="1:33"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row>
    <row r="134" spans="1:33"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row>
    <row r="135" spans="1:33"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row>
    <row r="136" spans="1:33"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row>
    <row r="137" spans="1:33"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row>
    <row r="138" spans="1:33"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row>
    <row r="139" spans="1:33"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row>
    <row r="140" spans="1:33"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row>
    <row r="141" spans="1:33"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row>
    <row r="142" spans="1:33"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row>
    <row r="143" spans="1:33"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row>
    <row r="144" spans="1:33"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row>
    <row r="145" spans="1:33"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row>
    <row r="146" spans="1:33"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row>
    <row r="147" spans="1:33"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row>
    <row r="148" spans="1:33"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row>
    <row r="149" spans="1:33"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row>
    <row r="150" spans="1:33"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row>
    <row r="151" spans="1:33"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row>
    <row r="152" spans="1:33"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row>
    <row r="153" spans="1:33"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row>
    <row r="154" spans="1:33"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row>
    <row r="155" spans="1:33"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row>
    <row r="156" spans="1:33"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row>
    <row r="157" spans="1:33"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row>
    <row r="158" spans="1:33"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row>
    <row r="159" spans="1:33"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row>
    <row r="160" spans="1:33"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row>
    <row r="161" spans="1:33"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row>
    <row r="162" spans="1:33"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row>
    <row r="163" spans="1:33"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row>
    <row r="164" spans="1:33"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row>
    <row r="165" spans="1:33"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row>
    <row r="166" spans="1:33"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row>
    <row r="167" spans="1:33"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row>
    <row r="168" spans="1:33"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row>
    <row r="169" spans="1:33"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row>
    <row r="170" spans="1:33"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row>
    <row r="171" spans="1:33"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row>
    <row r="172" spans="1:33"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row>
    <row r="173" spans="1:33"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row>
    <row r="174" spans="1:33"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row>
    <row r="175" spans="1:33"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row>
    <row r="176" spans="1:33"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row>
    <row r="177" spans="1:33"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row>
    <row r="178" spans="1:33"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row>
    <row r="179" spans="1:33"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row>
    <row r="180" spans="1:33"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row>
    <row r="181" spans="1:33"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row>
    <row r="182" spans="1:33"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row>
    <row r="183" spans="1:33"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row>
    <row r="184" spans="1:33"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row>
    <row r="185" spans="1:33"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row>
    <row r="186" spans="1:33"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row>
    <row r="187" spans="1:33"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row>
    <row r="188" spans="1:33"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row>
    <row r="189" spans="1:33"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row>
    <row r="190" spans="1:33"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row>
    <row r="191" spans="1:33"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row>
    <row r="192" spans="1:33"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row>
    <row r="193" spans="1:33"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row>
    <row r="194" spans="1:33"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row>
    <row r="195" spans="1:33"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row>
    <row r="196" spans="1:33"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row>
    <row r="197" spans="1:33"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row>
    <row r="198" spans="1:33"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row>
    <row r="199" spans="1:33"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row>
    <row r="200" spans="1:33"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row>
    <row r="201" spans="1:33"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row>
    <row r="202" spans="1:33"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row>
    <row r="203" spans="1:33"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row>
    <row r="204" spans="1:33"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row>
    <row r="205" spans="1:33"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row>
    <row r="206" spans="1:33"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row>
    <row r="207" spans="1:33"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row>
    <row r="208" spans="1:33"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row>
    <row r="209" spans="1:33"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row>
    <row r="210" spans="1:33"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row>
    <row r="211" spans="1:33"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row>
    <row r="212" spans="1:33"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row>
    <row r="213" spans="1:33"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row>
    <row r="214" spans="1:33"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row>
    <row r="215" spans="1:33"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row>
    <row r="216" spans="1:33"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row>
    <row r="217" spans="1:33"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row>
    <row r="218" spans="1:33"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row>
    <row r="219" spans="1:33"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row>
    <row r="220" spans="1:33"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row>
    <row r="221" spans="1:33"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row>
    <row r="222" spans="1:33"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row>
    <row r="223" spans="1:33"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row>
    <row r="224" spans="1:33"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row>
    <row r="225" spans="1:33"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row>
    <row r="226" spans="1:33"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row>
    <row r="227" spans="1:33"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row>
    <row r="228" spans="1:33"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row>
    <row r="229" spans="1:33"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row>
    <row r="230" spans="1:33"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row>
    <row r="231" spans="1:33"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row>
    <row r="232" spans="1:33"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row>
    <row r="233" spans="1:33"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row>
    <row r="234" spans="1:33"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row>
    <row r="235" spans="1:33"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row>
    <row r="236" spans="1:33"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row>
    <row r="237" spans="1:33"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row>
    <row r="238" spans="1:33"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row>
    <row r="239" spans="1:33"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row>
    <row r="240" spans="1:33"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row>
    <row r="241" spans="1:33"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row>
    <row r="242" spans="1:33"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row>
    <row r="243" spans="1:33"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row>
    <row r="244" spans="1:33"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row>
    <row r="245" spans="1:33" ht="15.75" customHeight="1"/>
    <row r="246" spans="1:33" ht="15.75" customHeight="1"/>
    <row r="247" spans="1:33" ht="15.75" customHeight="1"/>
    <row r="248" spans="1:33" ht="15.75" customHeight="1"/>
    <row r="249" spans="1:33" ht="15.75" customHeight="1"/>
    <row r="250" spans="1:33" ht="15.75" customHeight="1"/>
    <row r="251" spans="1:33" ht="15.75" customHeight="1"/>
    <row r="252" spans="1:33" ht="15.75" customHeight="1"/>
    <row r="253" spans="1:33" ht="15.75" customHeight="1"/>
    <row r="254" spans="1:33" ht="15.75" customHeight="1"/>
    <row r="255" spans="1:33" ht="15.75" customHeight="1"/>
    <row r="256" spans="1:33"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4">
    <mergeCell ref="I2:J2"/>
    <mergeCell ref="A13:D13"/>
    <mergeCell ref="A15:C15"/>
    <mergeCell ref="E15:G15"/>
  </mergeCells>
  <dataValidations count="2">
    <dataValidation type="list" allowBlank="1" showErrorMessage="1" sqref="I22" xr:uid="{00000000-0002-0000-0300-000000000000}">
      <formula1>$M$20:$M$28</formula1>
    </dataValidation>
    <dataValidation type="list" allowBlank="1" showErrorMessage="1" sqref="I20" xr:uid="{00000000-0002-0000-0300-000001000000}">
      <formula1>$K$20:$K$44</formula1>
    </dataValidation>
  </dataValidations>
  <pageMargins left="0.7" right="0.7" top="0.75" bottom="0.75" header="0" footer="0"/>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G1000"/>
  <sheetViews>
    <sheetView showGridLines="0" topLeftCell="A15" zoomScale="60" zoomScaleNormal="60" workbookViewId="0">
      <selection activeCell="D7" sqref="D7"/>
    </sheetView>
  </sheetViews>
  <sheetFormatPr baseColWidth="10" defaultColWidth="14.5" defaultRowHeight="15" customHeight="1"/>
  <cols>
    <col min="1" max="1" width="18.1640625" customWidth="1"/>
    <col min="2" max="2" width="29.83203125" customWidth="1"/>
    <col min="3" max="3" width="35.5" customWidth="1"/>
    <col min="4" max="4" width="28.83203125" customWidth="1"/>
    <col min="5" max="5" width="31.83203125" customWidth="1"/>
    <col min="6" max="6" width="21.33203125" customWidth="1"/>
    <col min="7" max="7" width="15.5" customWidth="1"/>
    <col min="8" max="8" width="16.83203125" customWidth="1"/>
    <col min="9" max="9" width="16.5" customWidth="1"/>
    <col min="10" max="10" width="15.5" customWidth="1"/>
    <col min="11" max="11" width="15.83203125" customWidth="1"/>
    <col min="12" max="12" width="13.1640625" customWidth="1"/>
    <col min="13" max="13" width="14.5" customWidth="1"/>
    <col min="14" max="14" width="12.5" customWidth="1"/>
    <col min="15" max="33" width="8.6640625" customWidth="1"/>
  </cols>
  <sheetData>
    <row r="1" spans="1:33">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row>
    <row r="2" spans="1:33" ht="23.25" customHeight="1">
      <c r="A2" s="1"/>
      <c r="B2" s="1"/>
      <c r="D2" s="1"/>
      <c r="E2" s="1"/>
      <c r="F2" s="1"/>
      <c r="G2" s="1"/>
      <c r="H2" s="1"/>
      <c r="I2" s="77" t="s">
        <v>25</v>
      </c>
      <c r="J2" s="69"/>
      <c r="K2" s="1"/>
      <c r="L2" s="1"/>
      <c r="M2" s="1"/>
      <c r="N2" s="1"/>
      <c r="O2" s="1"/>
      <c r="P2" s="1"/>
      <c r="Q2" s="1"/>
      <c r="R2" s="1"/>
      <c r="S2" s="1"/>
      <c r="T2" s="1"/>
      <c r="U2" s="1"/>
      <c r="V2" s="1"/>
      <c r="W2" s="1"/>
      <c r="X2" s="1"/>
      <c r="Y2" s="1"/>
      <c r="Z2" s="1"/>
      <c r="AA2" s="1"/>
      <c r="AB2" s="1"/>
      <c r="AC2" s="1"/>
      <c r="AD2" s="1"/>
      <c r="AE2" s="1"/>
      <c r="AF2" s="1"/>
      <c r="AG2" s="1"/>
    </row>
    <row r="3" spans="1:33">
      <c r="A3" s="1"/>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row>
    <row r="4" spans="1:33">
      <c r="A4" s="1"/>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row>
    <row r="5" spans="1:33">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row>
    <row r="6" spans="1:33" ht="14.25" customHeight="1">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row>
    <row r="7" spans="1:33" ht="31.5" customHeight="1">
      <c r="A7" s="16"/>
      <c r="B7" s="16"/>
      <c r="C7" s="16"/>
      <c r="D7" s="25" t="s">
        <v>30</v>
      </c>
      <c r="E7" s="16"/>
      <c r="F7" s="16"/>
      <c r="G7" s="16"/>
      <c r="H7" s="16"/>
      <c r="I7" s="16"/>
      <c r="J7" s="16"/>
      <c r="K7" s="16"/>
      <c r="L7" s="16"/>
      <c r="M7" s="16"/>
      <c r="N7" s="16"/>
      <c r="O7" s="16"/>
      <c r="P7" s="16"/>
      <c r="Q7" s="16"/>
      <c r="R7" s="16"/>
      <c r="S7" s="16"/>
      <c r="T7" s="16"/>
      <c r="U7" s="16"/>
      <c r="V7" s="16"/>
      <c r="W7" s="16"/>
      <c r="X7" s="16"/>
      <c r="Y7" s="16"/>
      <c r="Z7" s="16"/>
      <c r="AA7" s="16"/>
      <c r="AB7" s="16"/>
      <c r="AC7" s="16"/>
      <c r="AD7" s="16"/>
      <c r="AE7" s="16"/>
      <c r="AF7" s="16"/>
      <c r="AG7" s="16"/>
    </row>
    <row r="8" spans="1:33">
      <c r="A8" s="1"/>
      <c r="B8" s="1"/>
      <c r="C8" s="1"/>
      <c r="D8" s="52"/>
      <c r="E8" s="1"/>
      <c r="F8" s="1"/>
      <c r="G8" s="1"/>
      <c r="H8" s="1"/>
      <c r="I8" s="1"/>
      <c r="J8" s="1"/>
      <c r="K8" s="1"/>
      <c r="L8" s="1"/>
      <c r="M8" s="1"/>
      <c r="N8" s="1"/>
      <c r="O8" s="1"/>
      <c r="P8" s="1"/>
      <c r="Q8" s="1"/>
      <c r="R8" s="1"/>
      <c r="S8" s="1"/>
      <c r="T8" s="1"/>
      <c r="U8" s="1"/>
      <c r="V8" s="1"/>
      <c r="W8" s="1"/>
      <c r="X8" s="1"/>
      <c r="Y8" s="1"/>
      <c r="Z8" s="1"/>
      <c r="AA8" s="1"/>
      <c r="AB8" s="1"/>
      <c r="AC8" s="1"/>
      <c r="AD8" s="1"/>
      <c r="AE8" s="1"/>
      <c r="AF8" s="1"/>
      <c r="AG8" s="1"/>
    </row>
    <row r="9" spans="1:33">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row>
    <row r="10" spans="1:33">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row>
    <row r="11" spans="1:33">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row>
    <row r="12" spans="1:33">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row>
    <row r="13" spans="1:33" ht="35.25" customHeight="1">
      <c r="A13" s="70"/>
      <c r="B13" s="71"/>
      <c r="C13" s="71"/>
      <c r="D13" s="69"/>
      <c r="E13" s="17"/>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row>
    <row r="14" spans="1:33">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row>
    <row r="15" spans="1:33" ht="40.5" customHeight="1">
      <c r="A15" s="78" t="s">
        <v>1</v>
      </c>
      <c r="B15" s="62"/>
      <c r="C15" s="63"/>
      <c r="D15" s="4"/>
      <c r="E15" s="76" t="s">
        <v>2</v>
      </c>
      <c r="F15" s="62"/>
      <c r="G15" s="63"/>
      <c r="H15" s="4"/>
      <c r="I15" s="4"/>
      <c r="J15" s="4"/>
      <c r="K15" s="4"/>
      <c r="L15" s="4"/>
      <c r="M15" s="4"/>
      <c r="N15" s="4"/>
      <c r="O15" s="4"/>
      <c r="P15" s="4"/>
      <c r="Q15" s="4"/>
      <c r="R15" s="4"/>
      <c r="S15" s="4"/>
      <c r="T15" s="4"/>
      <c r="U15" s="4"/>
      <c r="V15" s="4"/>
      <c r="W15" s="4"/>
      <c r="X15" s="4"/>
      <c r="Y15" s="4"/>
      <c r="Z15" s="4"/>
      <c r="AA15" s="4"/>
      <c r="AB15" s="4"/>
      <c r="AC15" s="4"/>
      <c r="AD15" s="1"/>
      <c r="AE15" s="1"/>
      <c r="AF15" s="1"/>
      <c r="AG15" s="1"/>
    </row>
    <row r="16" spans="1:33">
      <c r="A16" s="6"/>
      <c r="B16" s="43"/>
      <c r="C16" s="41"/>
      <c r="D16" s="41"/>
      <c r="E16" s="41"/>
      <c r="F16" s="41"/>
      <c r="G16" s="41"/>
      <c r="H16" s="41"/>
      <c r="I16" s="41"/>
      <c r="J16" s="41"/>
      <c r="K16" s="1"/>
      <c r="L16" s="1"/>
      <c r="M16" s="1"/>
      <c r="N16" s="1"/>
      <c r="O16" s="1"/>
      <c r="P16" s="1"/>
      <c r="Q16" s="1"/>
      <c r="R16" s="1"/>
      <c r="S16" s="1"/>
      <c r="T16" s="1"/>
      <c r="U16" s="1"/>
      <c r="V16" s="1"/>
      <c r="W16" s="1"/>
      <c r="X16" s="1"/>
      <c r="Y16" s="1"/>
      <c r="Z16" s="1"/>
      <c r="AA16" s="1"/>
      <c r="AB16" s="1"/>
      <c r="AC16" s="1"/>
      <c r="AD16" s="1"/>
      <c r="AE16" s="1"/>
      <c r="AF16" s="1"/>
      <c r="AG16" s="1"/>
    </row>
    <row r="17" spans="1:33">
      <c r="A17" s="33"/>
      <c r="B17" s="44"/>
      <c r="C17" s="42"/>
      <c r="D17" s="42"/>
      <c r="E17" s="42"/>
      <c r="F17" s="42"/>
      <c r="G17" s="42"/>
      <c r="H17" s="42"/>
      <c r="I17" s="42"/>
      <c r="J17" s="33"/>
      <c r="K17" s="33"/>
      <c r="L17" s="33"/>
      <c r="M17" s="33"/>
      <c r="N17" s="1"/>
      <c r="O17" s="1"/>
      <c r="P17" s="1"/>
      <c r="Q17" s="1"/>
      <c r="R17" s="1"/>
      <c r="S17" s="1"/>
      <c r="T17" s="1"/>
      <c r="U17" s="1"/>
      <c r="V17" s="1"/>
      <c r="W17" s="1"/>
      <c r="X17" s="1"/>
      <c r="Y17" s="1"/>
      <c r="Z17" s="1"/>
      <c r="AA17" s="1"/>
      <c r="AB17" s="1"/>
      <c r="AC17" s="1"/>
      <c r="AD17" s="1"/>
      <c r="AE17" s="1"/>
      <c r="AF17" s="1"/>
      <c r="AG17" s="1"/>
    </row>
    <row r="18" spans="1:33">
      <c r="A18" s="33"/>
      <c r="B18" s="44"/>
      <c r="C18" s="42"/>
      <c r="D18" s="42"/>
      <c r="E18" s="42"/>
      <c r="F18" s="42"/>
      <c r="G18" s="42"/>
      <c r="H18" s="42"/>
      <c r="I18" s="42"/>
      <c r="J18" s="33"/>
      <c r="K18" s="33"/>
      <c r="L18" s="33"/>
      <c r="M18" s="33"/>
      <c r="N18" s="1"/>
      <c r="O18" s="1"/>
      <c r="P18" s="1"/>
      <c r="Q18" s="1"/>
      <c r="R18" s="1"/>
      <c r="S18" s="1"/>
      <c r="T18" s="1"/>
      <c r="U18" s="1"/>
      <c r="V18" s="1"/>
      <c r="W18" s="1"/>
      <c r="X18" s="1"/>
      <c r="Y18" s="1"/>
      <c r="Z18" s="1"/>
      <c r="AA18" s="1"/>
      <c r="AB18" s="1"/>
      <c r="AC18" s="1"/>
      <c r="AD18" s="1"/>
      <c r="AE18" s="1"/>
      <c r="AF18" s="1"/>
      <c r="AG18" s="1"/>
    </row>
    <row r="19" spans="1:33">
      <c r="A19" s="33"/>
      <c r="B19" s="44"/>
      <c r="C19" s="42"/>
      <c r="D19" s="42"/>
      <c r="E19" s="42"/>
      <c r="F19" s="42"/>
      <c r="G19" s="42"/>
      <c r="H19" s="42"/>
      <c r="I19" s="42"/>
      <c r="J19" s="33"/>
      <c r="K19" s="33"/>
      <c r="L19" s="33"/>
      <c r="M19" s="33"/>
      <c r="N19" s="1"/>
      <c r="O19" s="1"/>
      <c r="P19" s="1"/>
      <c r="Q19" s="1"/>
      <c r="R19" s="1"/>
      <c r="S19" s="1"/>
      <c r="T19" s="1"/>
      <c r="U19" s="1"/>
      <c r="V19" s="1"/>
      <c r="W19" s="1"/>
      <c r="X19" s="1"/>
      <c r="Y19" s="1"/>
      <c r="Z19" s="1"/>
      <c r="AA19" s="1"/>
      <c r="AB19" s="1"/>
      <c r="AC19" s="1"/>
      <c r="AD19" s="1"/>
      <c r="AE19" s="1"/>
      <c r="AF19" s="1"/>
      <c r="AG19" s="1"/>
    </row>
    <row r="20" spans="1:33">
      <c r="A20" s="45"/>
      <c r="B20" s="44"/>
      <c r="C20" s="46"/>
      <c r="D20" s="46"/>
      <c r="E20" s="46"/>
      <c r="F20" s="46"/>
      <c r="G20" s="42"/>
      <c r="H20" s="42"/>
      <c r="I20" s="42"/>
      <c r="J20" s="33"/>
      <c r="K20" s="33"/>
      <c r="L20" s="33"/>
      <c r="M20" s="47"/>
      <c r="N20" s="1"/>
      <c r="O20" s="1"/>
      <c r="P20" s="1"/>
      <c r="Q20" s="1"/>
      <c r="R20" s="1"/>
      <c r="S20" s="1"/>
      <c r="T20" s="1"/>
      <c r="U20" s="1"/>
      <c r="V20" s="1"/>
      <c r="W20" s="1"/>
      <c r="X20" s="1"/>
      <c r="Y20" s="1"/>
      <c r="Z20" s="1"/>
      <c r="AA20" s="1"/>
      <c r="AB20" s="1"/>
      <c r="AC20" s="1"/>
      <c r="AD20" s="1"/>
      <c r="AE20" s="1"/>
      <c r="AF20" s="1"/>
      <c r="AG20" s="1"/>
    </row>
    <row r="21" spans="1:33" ht="15.75" customHeight="1">
      <c r="A21" s="33"/>
      <c r="B21" s="48"/>
      <c r="C21" s="42"/>
      <c r="D21" s="48"/>
      <c r="E21" s="48"/>
      <c r="F21" s="48"/>
      <c r="G21" s="42"/>
      <c r="H21" s="42"/>
      <c r="I21" s="42"/>
      <c r="J21" s="33"/>
      <c r="K21" s="33"/>
      <c r="L21" s="33"/>
      <c r="M21" s="47"/>
      <c r="N21" s="1"/>
      <c r="O21" s="1"/>
      <c r="P21" s="1"/>
      <c r="Q21" s="1"/>
      <c r="R21" s="1"/>
      <c r="S21" s="1"/>
      <c r="T21" s="1"/>
      <c r="U21" s="1"/>
      <c r="V21" s="1"/>
      <c r="W21" s="1"/>
      <c r="X21" s="1"/>
      <c r="Y21" s="1"/>
      <c r="Z21" s="1"/>
      <c r="AA21" s="1"/>
      <c r="AB21" s="1"/>
      <c r="AC21" s="1"/>
      <c r="AD21" s="1"/>
      <c r="AE21" s="1"/>
      <c r="AF21" s="1"/>
      <c r="AG21" s="1"/>
    </row>
    <row r="22" spans="1:33" ht="15.75" customHeight="1">
      <c r="A22" s="33"/>
      <c r="B22" s="48"/>
      <c r="C22" s="42"/>
      <c r="D22" s="48"/>
      <c r="E22" s="48"/>
      <c r="F22" s="48"/>
      <c r="G22" s="42"/>
      <c r="H22" s="42"/>
      <c r="I22" s="49"/>
      <c r="J22" s="33"/>
      <c r="K22" s="33"/>
      <c r="L22" s="33"/>
      <c r="M22" s="47"/>
      <c r="N22" s="1"/>
      <c r="O22" s="1"/>
      <c r="P22" s="1"/>
      <c r="Q22" s="1"/>
      <c r="R22" s="1"/>
      <c r="S22" s="1"/>
      <c r="T22" s="1"/>
      <c r="U22" s="1"/>
      <c r="V22" s="1"/>
      <c r="W22" s="1"/>
      <c r="X22" s="1"/>
      <c r="Y22" s="1"/>
      <c r="Z22" s="1"/>
      <c r="AA22" s="1"/>
      <c r="AB22" s="1"/>
      <c r="AC22" s="1"/>
      <c r="AD22" s="1"/>
      <c r="AE22" s="1"/>
      <c r="AF22" s="1"/>
      <c r="AG22" s="1"/>
    </row>
    <row r="23" spans="1:33" ht="15.75" customHeight="1">
      <c r="A23" s="33"/>
      <c r="B23" s="48"/>
      <c r="C23" s="42"/>
      <c r="D23" s="48"/>
      <c r="E23" s="48"/>
      <c r="F23" s="48"/>
      <c r="G23" s="42"/>
      <c r="H23" s="42"/>
      <c r="I23" s="42"/>
      <c r="J23" s="33"/>
      <c r="K23" s="33"/>
      <c r="L23" s="33"/>
      <c r="M23" s="47"/>
      <c r="N23" s="1"/>
      <c r="O23" s="1"/>
      <c r="P23" s="1"/>
      <c r="Q23" s="1"/>
      <c r="R23" s="1"/>
      <c r="S23" s="1"/>
      <c r="T23" s="1"/>
      <c r="U23" s="1"/>
      <c r="V23" s="1"/>
      <c r="W23" s="1"/>
      <c r="X23" s="1"/>
      <c r="Y23" s="1"/>
      <c r="Z23" s="1"/>
      <c r="AA23" s="1"/>
      <c r="AB23" s="1"/>
      <c r="AC23" s="1"/>
      <c r="AD23" s="1"/>
      <c r="AE23" s="1"/>
      <c r="AF23" s="1"/>
      <c r="AG23" s="1"/>
    </row>
    <row r="24" spans="1:33" ht="15.75" customHeight="1">
      <c r="A24" s="33"/>
      <c r="B24" s="48"/>
      <c r="C24" s="42"/>
      <c r="D24" s="48"/>
      <c r="E24" s="48"/>
      <c r="F24" s="48"/>
      <c r="G24" s="42"/>
      <c r="H24" s="42"/>
      <c r="I24" s="42"/>
      <c r="J24" s="33"/>
      <c r="K24" s="33"/>
      <c r="L24" s="33"/>
      <c r="M24" s="47"/>
      <c r="N24" s="1"/>
      <c r="O24" s="1"/>
      <c r="P24" s="1"/>
      <c r="Q24" s="1"/>
      <c r="R24" s="1"/>
      <c r="S24" s="1"/>
      <c r="T24" s="1"/>
      <c r="U24" s="1"/>
      <c r="V24" s="1"/>
      <c r="W24" s="1"/>
      <c r="X24" s="1"/>
      <c r="Y24" s="1"/>
      <c r="Z24" s="1"/>
      <c r="AA24" s="1"/>
      <c r="AB24" s="1"/>
      <c r="AC24" s="1"/>
      <c r="AD24" s="1"/>
      <c r="AE24" s="1"/>
      <c r="AF24" s="1"/>
      <c r="AG24" s="1"/>
    </row>
    <row r="25" spans="1:33" ht="15.75" customHeight="1">
      <c r="A25" s="33"/>
      <c r="B25" s="48"/>
      <c r="C25" s="42"/>
      <c r="D25" s="48"/>
      <c r="E25" s="48"/>
      <c r="F25" s="48"/>
      <c r="G25" s="42"/>
      <c r="H25" s="42"/>
      <c r="I25" s="42"/>
      <c r="J25" s="33"/>
      <c r="K25" s="33"/>
      <c r="L25" s="33"/>
      <c r="M25" s="47"/>
      <c r="N25" s="1"/>
      <c r="O25" s="1"/>
      <c r="P25" s="1"/>
      <c r="Q25" s="1"/>
      <c r="R25" s="1"/>
      <c r="S25" s="1"/>
      <c r="T25" s="1"/>
      <c r="U25" s="1"/>
      <c r="V25" s="1"/>
      <c r="W25" s="1"/>
      <c r="X25" s="1"/>
      <c r="Y25" s="1"/>
      <c r="Z25" s="1"/>
      <c r="AA25" s="1"/>
      <c r="AB25" s="1"/>
      <c r="AC25" s="1"/>
      <c r="AD25" s="1"/>
      <c r="AE25" s="1"/>
      <c r="AF25" s="1"/>
      <c r="AG25" s="1"/>
    </row>
    <row r="26" spans="1:33" ht="15.75" customHeight="1">
      <c r="A26" s="33"/>
      <c r="B26" s="42"/>
      <c r="C26" s="42"/>
      <c r="D26" s="42"/>
      <c r="E26" s="42"/>
      <c r="F26" s="48"/>
      <c r="G26" s="42"/>
      <c r="H26" s="42"/>
      <c r="I26" s="42"/>
      <c r="J26" s="33"/>
      <c r="K26" s="33"/>
      <c r="L26" s="33"/>
      <c r="M26" s="47"/>
      <c r="N26" s="1"/>
      <c r="O26" s="1"/>
      <c r="P26" s="1"/>
      <c r="Q26" s="1"/>
      <c r="R26" s="1"/>
      <c r="S26" s="1"/>
      <c r="T26" s="1"/>
      <c r="U26" s="1"/>
      <c r="V26" s="1"/>
      <c r="W26" s="1"/>
      <c r="X26" s="1"/>
      <c r="Y26" s="1"/>
      <c r="Z26" s="1"/>
      <c r="AA26" s="1"/>
      <c r="AB26" s="1"/>
      <c r="AC26" s="1"/>
      <c r="AD26" s="1"/>
      <c r="AE26" s="1"/>
      <c r="AF26" s="1"/>
      <c r="AG26" s="1"/>
    </row>
    <row r="27" spans="1:33" ht="15.75" customHeight="1">
      <c r="A27" s="33"/>
      <c r="B27" s="42"/>
      <c r="C27" s="42"/>
      <c r="D27" s="42"/>
      <c r="E27" s="42"/>
      <c r="F27" s="42"/>
      <c r="G27" s="42"/>
      <c r="H27" s="42"/>
      <c r="I27" s="42"/>
      <c r="J27" s="33"/>
      <c r="K27" s="33"/>
      <c r="L27" s="33"/>
      <c r="M27" s="47"/>
      <c r="N27" s="1"/>
      <c r="O27" s="1"/>
      <c r="P27" s="1"/>
      <c r="Q27" s="1"/>
      <c r="R27" s="1"/>
      <c r="S27" s="1"/>
      <c r="T27" s="1"/>
      <c r="U27" s="1"/>
      <c r="V27" s="1"/>
      <c r="W27" s="1"/>
      <c r="X27" s="1"/>
      <c r="Y27" s="1"/>
      <c r="Z27" s="1"/>
      <c r="AA27" s="1"/>
      <c r="AB27" s="1"/>
      <c r="AC27" s="1"/>
      <c r="AD27" s="1"/>
      <c r="AE27" s="1"/>
      <c r="AF27" s="1"/>
      <c r="AG27" s="1"/>
    </row>
    <row r="28" spans="1:33" ht="15.75" customHeight="1">
      <c r="A28" s="45"/>
      <c r="B28" s="46"/>
      <c r="C28" s="46"/>
      <c r="D28" s="46"/>
      <c r="E28" s="46"/>
      <c r="F28" s="46"/>
      <c r="G28" s="42"/>
      <c r="H28" s="42"/>
      <c r="I28" s="42"/>
      <c r="J28" s="33"/>
      <c r="K28" s="33"/>
      <c r="L28" s="33"/>
      <c r="M28" s="47"/>
      <c r="N28" s="1"/>
      <c r="O28" s="1"/>
      <c r="P28" s="1"/>
      <c r="Q28" s="1"/>
      <c r="R28" s="1"/>
      <c r="S28" s="1"/>
      <c r="T28" s="1"/>
      <c r="U28" s="1"/>
      <c r="V28" s="1"/>
      <c r="W28" s="1"/>
      <c r="X28" s="1"/>
      <c r="Y28" s="1"/>
      <c r="Z28" s="1"/>
      <c r="AA28" s="1"/>
      <c r="AB28" s="1"/>
      <c r="AC28" s="1"/>
      <c r="AD28" s="1"/>
      <c r="AE28" s="1"/>
      <c r="AF28" s="1"/>
      <c r="AG28" s="1"/>
    </row>
    <row r="29" spans="1:33" ht="15.75" customHeight="1">
      <c r="A29" s="33"/>
      <c r="B29" s="42"/>
      <c r="C29" s="50"/>
      <c r="D29" s="44"/>
      <c r="E29" s="44"/>
      <c r="F29" s="44"/>
      <c r="G29" s="42"/>
      <c r="H29" s="42"/>
      <c r="I29" s="42"/>
      <c r="J29" s="33"/>
      <c r="K29" s="33"/>
      <c r="L29" s="33"/>
      <c r="M29" s="33"/>
      <c r="N29" s="1"/>
      <c r="O29" s="1"/>
      <c r="P29" s="1"/>
      <c r="Q29" s="1"/>
      <c r="R29" s="1"/>
      <c r="S29" s="1"/>
      <c r="T29" s="1"/>
      <c r="U29" s="1"/>
      <c r="V29" s="1"/>
      <c r="W29" s="1"/>
      <c r="X29" s="1"/>
      <c r="Y29" s="1"/>
      <c r="Z29" s="1"/>
      <c r="AA29" s="1"/>
      <c r="AB29" s="1"/>
      <c r="AC29" s="1"/>
      <c r="AD29" s="1"/>
      <c r="AE29" s="1"/>
      <c r="AF29" s="1"/>
      <c r="AG29" s="1"/>
    </row>
    <row r="30" spans="1:33" ht="15.75" customHeight="1">
      <c r="A30" s="33"/>
      <c r="B30" s="42"/>
      <c r="C30" s="50"/>
      <c r="D30" s="44"/>
      <c r="E30" s="44"/>
      <c r="F30" s="44"/>
      <c r="G30" s="42"/>
      <c r="H30" s="42"/>
      <c r="I30" s="42"/>
      <c r="J30" s="33"/>
      <c r="K30" s="33"/>
      <c r="L30" s="33"/>
      <c r="M30" s="33"/>
      <c r="N30" s="1"/>
      <c r="O30" s="1"/>
      <c r="P30" s="1"/>
      <c r="Q30" s="1"/>
      <c r="R30" s="1"/>
      <c r="S30" s="1"/>
      <c r="T30" s="1"/>
      <c r="U30" s="1"/>
      <c r="V30" s="1"/>
      <c r="W30" s="1"/>
      <c r="X30" s="1"/>
      <c r="Y30" s="1"/>
      <c r="Z30" s="1"/>
      <c r="AA30" s="1"/>
      <c r="AB30" s="1"/>
      <c r="AC30" s="1"/>
      <c r="AD30" s="1"/>
      <c r="AE30" s="1"/>
      <c r="AF30" s="1"/>
      <c r="AG30" s="1"/>
    </row>
    <row r="31" spans="1:33" ht="15.75" customHeight="1">
      <c r="A31" s="33"/>
      <c r="B31" s="42"/>
      <c r="C31" s="50"/>
      <c r="D31" s="44"/>
      <c r="E31" s="44"/>
      <c r="F31" s="44"/>
      <c r="G31" s="42"/>
      <c r="H31" s="42"/>
      <c r="I31" s="42"/>
      <c r="J31" s="33"/>
      <c r="K31" s="33"/>
      <c r="L31" s="33"/>
      <c r="M31" s="33"/>
      <c r="N31" s="1"/>
      <c r="O31" s="1"/>
      <c r="P31" s="1"/>
      <c r="Q31" s="1"/>
      <c r="R31" s="1"/>
      <c r="S31" s="1"/>
      <c r="T31" s="1"/>
      <c r="U31" s="1"/>
      <c r="V31" s="1"/>
      <c r="W31" s="1"/>
      <c r="X31" s="1"/>
      <c r="Y31" s="1"/>
      <c r="Z31" s="1"/>
      <c r="AA31" s="1"/>
      <c r="AB31" s="1"/>
      <c r="AC31" s="1"/>
      <c r="AD31" s="1"/>
      <c r="AE31" s="1"/>
      <c r="AF31" s="1"/>
      <c r="AG31" s="1"/>
    </row>
    <row r="32" spans="1:33" ht="15.75" customHeight="1">
      <c r="A32" s="33"/>
      <c r="B32" s="42"/>
      <c r="C32" s="50"/>
      <c r="D32" s="44"/>
      <c r="E32" s="44"/>
      <c r="F32" s="44"/>
      <c r="G32" s="42"/>
      <c r="H32" s="42"/>
      <c r="I32" s="42"/>
      <c r="J32" s="33"/>
      <c r="K32" s="33"/>
      <c r="L32" s="33"/>
      <c r="M32" s="33"/>
      <c r="N32" s="1"/>
      <c r="O32" s="1"/>
      <c r="P32" s="1"/>
      <c r="Q32" s="1"/>
      <c r="R32" s="1"/>
      <c r="S32" s="1"/>
      <c r="T32" s="1"/>
      <c r="U32" s="1"/>
      <c r="V32" s="1"/>
      <c r="W32" s="1"/>
      <c r="X32" s="1"/>
      <c r="Y32" s="1"/>
      <c r="Z32" s="1"/>
      <c r="AA32" s="1"/>
      <c r="AB32" s="1"/>
      <c r="AC32" s="1"/>
      <c r="AD32" s="1"/>
      <c r="AE32" s="1"/>
      <c r="AF32" s="1"/>
      <c r="AG32" s="1"/>
    </row>
    <row r="33" spans="1:33" ht="15.75" customHeight="1">
      <c r="A33" s="33"/>
      <c r="B33" s="42"/>
      <c r="C33" s="50"/>
      <c r="D33" s="44"/>
      <c r="E33" s="44"/>
      <c r="F33" s="44"/>
      <c r="G33" s="42"/>
      <c r="H33" s="42"/>
      <c r="I33" s="42"/>
      <c r="J33" s="33"/>
      <c r="K33" s="33"/>
      <c r="L33" s="33"/>
      <c r="M33" s="33"/>
      <c r="N33" s="1"/>
      <c r="O33" s="1"/>
      <c r="P33" s="1"/>
      <c r="Q33" s="1"/>
      <c r="R33" s="1"/>
      <c r="S33" s="1"/>
      <c r="T33" s="1"/>
      <c r="U33" s="1"/>
      <c r="V33" s="1"/>
      <c r="W33" s="1"/>
      <c r="X33" s="1"/>
      <c r="Y33" s="1"/>
      <c r="Z33" s="1"/>
      <c r="AA33" s="1"/>
      <c r="AB33" s="1"/>
      <c r="AC33" s="1"/>
      <c r="AD33" s="1"/>
      <c r="AE33" s="1"/>
      <c r="AF33" s="1"/>
      <c r="AG33" s="1"/>
    </row>
    <row r="34" spans="1:33" ht="15.75" customHeight="1">
      <c r="A34" s="33"/>
      <c r="B34" s="42"/>
      <c r="C34" s="42"/>
      <c r="D34" s="42"/>
      <c r="E34" s="42"/>
      <c r="F34" s="44"/>
      <c r="G34" s="42"/>
      <c r="H34" s="42"/>
      <c r="I34" s="42"/>
      <c r="J34" s="33"/>
      <c r="K34" s="33"/>
      <c r="L34" s="33"/>
      <c r="M34" s="33"/>
      <c r="N34" s="1"/>
      <c r="O34" s="1"/>
      <c r="P34" s="1"/>
      <c r="Q34" s="1"/>
      <c r="R34" s="1"/>
      <c r="S34" s="1"/>
      <c r="T34" s="1"/>
      <c r="U34" s="1"/>
      <c r="V34" s="1"/>
      <c r="W34" s="1"/>
      <c r="X34" s="1"/>
      <c r="Y34" s="1"/>
      <c r="Z34" s="1"/>
      <c r="AA34" s="1"/>
      <c r="AB34" s="1"/>
      <c r="AC34" s="1"/>
      <c r="AD34" s="1"/>
      <c r="AE34" s="1"/>
      <c r="AF34" s="1"/>
      <c r="AG34" s="1"/>
    </row>
    <row r="35" spans="1:33" ht="15.75" customHeight="1">
      <c r="A35" s="33"/>
      <c r="B35" s="33"/>
      <c r="C35" s="33"/>
      <c r="D35" s="33"/>
      <c r="E35" s="33"/>
      <c r="F35" s="33"/>
      <c r="G35" s="33"/>
      <c r="H35" s="33"/>
      <c r="I35" s="33"/>
      <c r="J35" s="33"/>
      <c r="K35" s="33"/>
      <c r="L35" s="33"/>
      <c r="M35" s="33"/>
      <c r="N35" s="1"/>
      <c r="O35" s="1"/>
      <c r="P35" s="1"/>
      <c r="Q35" s="1"/>
      <c r="R35" s="1"/>
      <c r="S35" s="1"/>
      <c r="T35" s="1"/>
      <c r="U35" s="1"/>
      <c r="V35" s="1"/>
      <c r="W35" s="1"/>
      <c r="X35" s="1"/>
      <c r="Y35" s="1"/>
      <c r="Z35" s="1"/>
      <c r="AA35" s="1"/>
      <c r="AB35" s="1"/>
      <c r="AC35" s="1"/>
      <c r="AD35" s="1"/>
      <c r="AE35" s="1"/>
      <c r="AF35" s="1"/>
      <c r="AG35" s="1"/>
    </row>
    <row r="36" spans="1:33" ht="15.75" customHeight="1">
      <c r="A36" s="33"/>
      <c r="B36" s="33"/>
      <c r="C36" s="33"/>
      <c r="D36" s="33"/>
      <c r="E36" s="33"/>
      <c r="F36" s="33"/>
      <c r="G36" s="33"/>
      <c r="H36" s="33"/>
      <c r="I36" s="33"/>
      <c r="J36" s="33"/>
      <c r="K36" s="33"/>
      <c r="L36" s="33"/>
      <c r="M36" s="33"/>
      <c r="N36" s="1"/>
      <c r="O36" s="1"/>
      <c r="P36" s="1"/>
      <c r="Q36" s="1"/>
      <c r="R36" s="1"/>
      <c r="S36" s="1"/>
      <c r="T36" s="1"/>
      <c r="U36" s="1"/>
      <c r="V36" s="1"/>
      <c r="W36" s="1"/>
      <c r="X36" s="1"/>
      <c r="Y36" s="1"/>
      <c r="Z36" s="1"/>
      <c r="AA36" s="1"/>
      <c r="AB36" s="1"/>
      <c r="AC36" s="1"/>
      <c r="AD36" s="1"/>
      <c r="AE36" s="1"/>
      <c r="AF36" s="1"/>
      <c r="AG36" s="1"/>
    </row>
    <row r="37" spans="1:33" ht="15.75" customHeight="1">
      <c r="A37" s="33"/>
      <c r="B37" s="33"/>
      <c r="C37" s="33"/>
      <c r="D37" s="33"/>
      <c r="E37" s="33"/>
      <c r="F37" s="51"/>
      <c r="G37" s="33"/>
      <c r="H37" s="33"/>
      <c r="I37" s="33"/>
      <c r="J37" s="33"/>
      <c r="K37" s="33"/>
      <c r="L37" s="33"/>
      <c r="M37" s="33"/>
      <c r="N37" s="1"/>
      <c r="O37" s="1"/>
      <c r="P37" s="1"/>
      <c r="Q37" s="1"/>
      <c r="R37" s="1"/>
      <c r="S37" s="1"/>
      <c r="T37" s="1"/>
      <c r="U37" s="1"/>
      <c r="V37" s="1"/>
      <c r="W37" s="1"/>
      <c r="X37" s="1"/>
      <c r="Y37" s="1"/>
      <c r="Z37" s="1"/>
      <c r="AA37" s="1"/>
      <c r="AB37" s="1"/>
      <c r="AC37" s="1"/>
      <c r="AD37" s="1"/>
      <c r="AE37" s="1"/>
      <c r="AF37" s="1"/>
      <c r="AG37" s="1"/>
    </row>
    <row r="38" spans="1:33" ht="15.75" customHeight="1">
      <c r="A38" s="33"/>
      <c r="B38" s="33"/>
      <c r="C38" s="33"/>
      <c r="D38" s="33"/>
      <c r="E38" s="33"/>
      <c r="F38" s="33"/>
      <c r="G38" s="33"/>
      <c r="H38" s="33"/>
      <c r="I38" s="33"/>
      <c r="J38" s="33"/>
      <c r="K38" s="33"/>
      <c r="L38" s="33"/>
      <c r="M38" s="33"/>
      <c r="N38" s="1"/>
      <c r="O38" s="1"/>
      <c r="P38" s="1"/>
      <c r="Q38" s="1"/>
      <c r="R38" s="1"/>
      <c r="S38" s="1"/>
      <c r="T38" s="1"/>
      <c r="U38" s="1"/>
      <c r="V38" s="1"/>
      <c r="W38" s="1"/>
      <c r="X38" s="1"/>
      <c r="Y38" s="1"/>
      <c r="Z38" s="1"/>
      <c r="AA38" s="1"/>
      <c r="AB38" s="1"/>
      <c r="AC38" s="1"/>
      <c r="AD38" s="1"/>
      <c r="AE38" s="1"/>
      <c r="AF38" s="1"/>
      <c r="AG38" s="1"/>
    </row>
    <row r="39" spans="1:33" ht="15.75" customHeight="1">
      <c r="A39" s="33"/>
      <c r="B39" s="33"/>
      <c r="C39" s="33"/>
      <c r="D39" s="33"/>
      <c r="E39" s="33"/>
      <c r="F39" s="33"/>
      <c r="G39" s="33"/>
      <c r="H39" s="33"/>
      <c r="I39" s="33"/>
      <c r="J39" s="33"/>
      <c r="K39" s="33"/>
      <c r="L39" s="33"/>
      <c r="M39" s="33"/>
      <c r="N39" s="1"/>
      <c r="O39" s="1"/>
      <c r="P39" s="1"/>
      <c r="Q39" s="1"/>
      <c r="R39" s="1"/>
      <c r="S39" s="1"/>
      <c r="T39" s="1"/>
      <c r="U39" s="1"/>
      <c r="V39" s="1"/>
      <c r="W39" s="1"/>
      <c r="X39" s="1"/>
      <c r="Y39" s="1"/>
      <c r="Z39" s="1"/>
      <c r="AA39" s="1"/>
      <c r="AB39" s="1"/>
      <c r="AC39" s="1"/>
      <c r="AD39" s="1"/>
      <c r="AE39" s="1"/>
      <c r="AF39" s="1"/>
      <c r="AG39" s="1"/>
    </row>
    <row r="40" spans="1:33" ht="15.75" customHeight="1">
      <c r="A40" s="33"/>
      <c r="B40" s="33"/>
      <c r="C40" s="33"/>
      <c r="D40" s="34"/>
      <c r="E40" s="33"/>
      <c r="F40" s="33"/>
      <c r="G40" s="33"/>
      <c r="H40" s="33"/>
      <c r="I40" s="33"/>
      <c r="J40" s="33"/>
      <c r="K40" s="33"/>
      <c r="L40" s="33"/>
      <c r="M40" s="33"/>
      <c r="N40" s="1"/>
      <c r="O40" s="1"/>
      <c r="P40" s="1"/>
      <c r="Q40" s="1"/>
      <c r="R40" s="1"/>
      <c r="S40" s="1"/>
      <c r="T40" s="1"/>
      <c r="U40" s="1"/>
      <c r="V40" s="1"/>
      <c r="W40" s="1"/>
      <c r="X40" s="1"/>
      <c r="Y40" s="1"/>
      <c r="Z40" s="1"/>
      <c r="AA40" s="1"/>
      <c r="AB40" s="1"/>
      <c r="AC40" s="1"/>
      <c r="AD40" s="1"/>
      <c r="AE40" s="1"/>
      <c r="AF40" s="1"/>
      <c r="AG40" s="1"/>
    </row>
    <row r="41" spans="1:33" ht="15.75" customHeight="1">
      <c r="A41" s="33"/>
      <c r="B41" s="33"/>
      <c r="C41" s="33"/>
      <c r="D41" s="33"/>
      <c r="E41" s="33"/>
      <c r="F41" s="33"/>
      <c r="G41" s="33"/>
      <c r="H41" s="33"/>
      <c r="I41" s="33"/>
      <c r="J41" s="33"/>
      <c r="K41" s="33"/>
      <c r="L41" s="33"/>
      <c r="M41" s="33"/>
      <c r="N41" s="1"/>
      <c r="O41" s="1"/>
      <c r="P41" s="1"/>
      <c r="Q41" s="1"/>
      <c r="R41" s="1"/>
      <c r="S41" s="1"/>
      <c r="T41" s="1"/>
      <c r="U41" s="1"/>
      <c r="V41" s="1"/>
      <c r="W41" s="1"/>
      <c r="X41" s="1"/>
      <c r="Y41" s="1"/>
      <c r="Z41" s="1"/>
      <c r="AA41" s="1"/>
      <c r="AB41" s="1"/>
      <c r="AC41" s="1"/>
      <c r="AD41" s="1"/>
      <c r="AE41" s="1"/>
      <c r="AF41" s="1"/>
      <c r="AG41" s="1"/>
    </row>
    <row r="42" spans="1:33" ht="15.75" customHeight="1">
      <c r="A42" s="33"/>
      <c r="B42" s="33"/>
      <c r="C42" s="33"/>
      <c r="D42" s="33"/>
      <c r="E42" s="33"/>
      <c r="F42" s="33"/>
      <c r="G42" s="33"/>
      <c r="H42" s="33"/>
      <c r="I42" s="33"/>
      <c r="J42" s="33"/>
      <c r="K42" s="33"/>
      <c r="L42" s="33"/>
      <c r="M42" s="33"/>
      <c r="N42" s="1"/>
      <c r="O42" s="1"/>
      <c r="P42" s="1"/>
      <c r="Q42" s="1"/>
      <c r="R42" s="1"/>
      <c r="S42" s="1"/>
      <c r="T42" s="1"/>
      <c r="U42" s="1"/>
      <c r="V42" s="1"/>
      <c r="W42" s="1"/>
      <c r="X42" s="1"/>
      <c r="Y42" s="1"/>
      <c r="Z42" s="1"/>
      <c r="AA42" s="1"/>
      <c r="AB42" s="1"/>
      <c r="AC42" s="1"/>
      <c r="AD42" s="1"/>
      <c r="AE42" s="1"/>
      <c r="AF42" s="1"/>
      <c r="AG42" s="1"/>
    </row>
    <row r="43" spans="1:33" ht="15.75" customHeight="1">
      <c r="A43" s="33"/>
      <c r="B43" s="33"/>
      <c r="C43" s="33"/>
      <c r="D43" s="33"/>
      <c r="E43" s="33"/>
      <c r="F43" s="33"/>
      <c r="G43" s="33"/>
      <c r="H43" s="33"/>
      <c r="I43" s="33"/>
      <c r="J43" s="33"/>
      <c r="K43" s="33"/>
      <c r="L43" s="33"/>
      <c r="M43" s="33"/>
      <c r="N43" s="1"/>
      <c r="O43" s="1"/>
      <c r="P43" s="1"/>
      <c r="Q43" s="1"/>
      <c r="R43" s="1"/>
      <c r="S43" s="1"/>
      <c r="T43" s="1"/>
      <c r="U43" s="1"/>
      <c r="V43" s="1"/>
      <c r="W43" s="1"/>
      <c r="X43" s="1"/>
      <c r="Y43" s="1"/>
      <c r="Z43" s="1"/>
      <c r="AA43" s="1"/>
      <c r="AB43" s="1"/>
      <c r="AC43" s="1"/>
      <c r="AD43" s="1"/>
      <c r="AE43" s="1"/>
      <c r="AF43" s="1"/>
      <c r="AG43" s="1"/>
    </row>
    <row r="44" spans="1:33" ht="15.75" customHeight="1">
      <c r="A44" s="33"/>
      <c r="B44" s="33"/>
      <c r="C44" s="33"/>
      <c r="D44" s="33"/>
      <c r="E44" s="33"/>
      <c r="F44" s="33"/>
      <c r="G44" s="33"/>
      <c r="H44" s="33"/>
      <c r="I44" s="33"/>
      <c r="J44" s="33"/>
      <c r="K44" s="33"/>
      <c r="L44" s="33"/>
      <c r="M44" s="33"/>
      <c r="N44" s="1"/>
      <c r="O44" s="1"/>
      <c r="P44" s="1"/>
      <c r="Q44" s="1"/>
      <c r="R44" s="1"/>
      <c r="S44" s="1"/>
      <c r="T44" s="1"/>
      <c r="U44" s="1"/>
      <c r="V44" s="1"/>
      <c r="W44" s="1"/>
      <c r="X44" s="1"/>
      <c r="Y44" s="1"/>
      <c r="Z44" s="1"/>
      <c r="AA44" s="1"/>
      <c r="AB44" s="1"/>
      <c r="AC44" s="1"/>
      <c r="AD44" s="1"/>
      <c r="AE44" s="1"/>
      <c r="AF44" s="1"/>
      <c r="AG44" s="1"/>
    </row>
    <row r="45" spans="1:33" ht="15.75" customHeight="1">
      <c r="A45" s="33"/>
      <c r="B45" s="33"/>
      <c r="C45" s="33"/>
      <c r="D45" s="33"/>
      <c r="E45" s="33"/>
      <c r="F45" s="33"/>
      <c r="G45" s="33"/>
      <c r="H45" s="33"/>
      <c r="I45" s="33"/>
      <c r="J45" s="33"/>
      <c r="K45" s="33"/>
      <c r="L45" s="33"/>
      <c r="M45" s="33"/>
      <c r="N45" s="1"/>
      <c r="O45" s="1"/>
      <c r="P45" s="1"/>
      <c r="Q45" s="1"/>
      <c r="R45" s="1"/>
      <c r="S45" s="1"/>
      <c r="T45" s="1"/>
      <c r="U45" s="1"/>
      <c r="V45" s="1"/>
      <c r="W45" s="1"/>
      <c r="X45" s="1"/>
      <c r="Y45" s="1"/>
      <c r="Z45" s="1"/>
      <c r="AA45" s="1"/>
      <c r="AB45" s="1"/>
      <c r="AC45" s="1"/>
      <c r="AD45" s="1"/>
      <c r="AE45" s="1"/>
      <c r="AF45" s="1"/>
      <c r="AG45" s="1"/>
    </row>
    <row r="46" spans="1:33" ht="15.75" customHeight="1">
      <c r="A46" s="33"/>
      <c r="B46" s="33"/>
      <c r="C46" s="33"/>
      <c r="D46" s="33"/>
      <c r="E46" s="33"/>
      <c r="F46" s="33"/>
      <c r="G46" s="33"/>
      <c r="H46" s="33"/>
      <c r="I46" s="33"/>
      <c r="J46" s="33"/>
      <c r="K46" s="33"/>
      <c r="L46" s="33"/>
      <c r="M46" s="33"/>
      <c r="N46" s="1"/>
      <c r="O46" s="1"/>
      <c r="P46" s="1"/>
      <c r="Q46" s="1"/>
      <c r="R46" s="1"/>
      <c r="S46" s="1"/>
      <c r="T46" s="1"/>
      <c r="U46" s="1"/>
      <c r="V46" s="1"/>
      <c r="W46" s="1"/>
      <c r="X46" s="1"/>
      <c r="Y46" s="1"/>
      <c r="Z46" s="1"/>
      <c r="AA46" s="1"/>
      <c r="AB46" s="1"/>
      <c r="AC46" s="1"/>
      <c r="AD46" s="1"/>
      <c r="AE46" s="1"/>
      <c r="AF46" s="1"/>
      <c r="AG46" s="1"/>
    </row>
    <row r="47" spans="1:33" ht="15.75" customHeight="1">
      <c r="A47" s="33"/>
      <c r="B47" s="33"/>
      <c r="C47" s="33"/>
      <c r="D47" s="33"/>
      <c r="E47" s="33"/>
      <c r="F47" s="33"/>
      <c r="G47" s="33"/>
      <c r="H47" s="33"/>
      <c r="I47" s="33"/>
      <c r="J47" s="33"/>
      <c r="K47" s="33"/>
      <c r="L47" s="33"/>
      <c r="M47" s="33"/>
      <c r="N47" s="1"/>
      <c r="O47" s="1"/>
      <c r="P47" s="1"/>
      <c r="Q47" s="1"/>
      <c r="R47" s="1"/>
      <c r="S47" s="1"/>
      <c r="T47" s="1"/>
      <c r="U47" s="1"/>
      <c r="V47" s="1"/>
      <c r="W47" s="1"/>
      <c r="X47" s="1"/>
      <c r="Y47" s="1"/>
      <c r="Z47" s="1"/>
      <c r="AA47" s="1"/>
      <c r="AB47" s="1"/>
      <c r="AC47" s="1"/>
      <c r="AD47" s="1"/>
      <c r="AE47" s="1"/>
      <c r="AF47" s="1"/>
      <c r="AG47" s="1"/>
    </row>
    <row r="48" spans="1:33" ht="15.75" customHeight="1">
      <c r="A48" s="33"/>
      <c r="B48" s="33"/>
      <c r="C48" s="33"/>
      <c r="D48" s="33"/>
      <c r="E48" s="33"/>
      <c r="F48" s="33"/>
      <c r="G48" s="33"/>
      <c r="H48" s="33"/>
      <c r="I48" s="33"/>
      <c r="J48" s="33"/>
      <c r="K48" s="33"/>
      <c r="L48" s="33"/>
      <c r="M48" s="33"/>
      <c r="N48" s="1"/>
      <c r="O48" s="1"/>
      <c r="P48" s="1"/>
      <c r="Q48" s="1"/>
      <c r="R48" s="1"/>
      <c r="S48" s="1"/>
      <c r="T48" s="1"/>
      <c r="U48" s="1"/>
      <c r="V48" s="1"/>
      <c r="W48" s="1"/>
      <c r="X48" s="1"/>
      <c r="Y48" s="1"/>
      <c r="Z48" s="1"/>
      <c r="AA48" s="1"/>
      <c r="AB48" s="1"/>
      <c r="AC48" s="1"/>
      <c r="AD48" s="1"/>
      <c r="AE48" s="1"/>
      <c r="AF48" s="1"/>
      <c r="AG48" s="1"/>
    </row>
    <row r="49" spans="1:33" ht="15.75" customHeight="1">
      <c r="A49" s="33"/>
      <c r="C49" s="33"/>
      <c r="D49" s="33"/>
      <c r="E49" s="33"/>
      <c r="F49" s="33"/>
      <c r="G49" s="33"/>
      <c r="H49" s="33"/>
      <c r="I49" s="33"/>
      <c r="J49" s="33"/>
      <c r="K49" s="33"/>
      <c r="L49" s="33"/>
      <c r="M49" s="33"/>
      <c r="N49" s="1"/>
      <c r="O49" s="1"/>
      <c r="P49" s="1"/>
      <c r="Q49" s="1"/>
      <c r="R49" s="1"/>
      <c r="S49" s="1"/>
      <c r="T49" s="1"/>
      <c r="U49" s="1"/>
      <c r="V49" s="1"/>
      <c r="W49" s="1"/>
      <c r="X49" s="1"/>
      <c r="Y49" s="1"/>
      <c r="Z49" s="1"/>
      <c r="AA49" s="1"/>
      <c r="AB49" s="1"/>
      <c r="AC49" s="1"/>
      <c r="AD49" s="1"/>
      <c r="AE49" s="1"/>
      <c r="AF49" s="1"/>
      <c r="AG49" s="1"/>
    </row>
    <row r="50" spans="1:33" ht="15.75" customHeight="1">
      <c r="A50" s="33"/>
      <c r="B50" s="33"/>
      <c r="C50" s="33"/>
      <c r="D50" s="33"/>
      <c r="E50" s="33"/>
      <c r="F50" s="33"/>
      <c r="G50" s="33"/>
      <c r="H50" s="33"/>
      <c r="I50" s="33"/>
      <c r="J50" s="33"/>
      <c r="K50" s="33"/>
      <c r="L50" s="33"/>
      <c r="M50" s="33"/>
      <c r="N50" s="1"/>
      <c r="O50" s="1"/>
      <c r="P50" s="1"/>
      <c r="Q50" s="1"/>
      <c r="R50" s="1"/>
      <c r="S50" s="1"/>
      <c r="T50" s="1"/>
      <c r="U50" s="1"/>
      <c r="V50" s="1"/>
      <c r="W50" s="1"/>
      <c r="X50" s="1"/>
      <c r="Y50" s="1"/>
      <c r="Z50" s="1"/>
      <c r="AA50" s="1"/>
      <c r="AB50" s="1"/>
      <c r="AC50" s="1"/>
      <c r="AD50" s="1"/>
      <c r="AE50" s="1"/>
      <c r="AF50" s="1"/>
      <c r="AG50" s="1"/>
    </row>
    <row r="51" spans="1:33" ht="15.75" customHeight="1">
      <c r="A51" s="33"/>
      <c r="B51" s="33"/>
      <c r="C51" s="33"/>
      <c r="D51" s="33"/>
      <c r="E51" s="33"/>
      <c r="F51" s="33"/>
      <c r="G51" s="33"/>
      <c r="H51" s="33"/>
      <c r="I51" s="33"/>
      <c r="J51" s="33"/>
      <c r="K51" s="33"/>
      <c r="L51" s="33"/>
      <c r="M51" s="33"/>
      <c r="N51" s="1"/>
      <c r="O51" s="1"/>
      <c r="P51" s="1"/>
      <c r="Q51" s="1"/>
      <c r="R51" s="1"/>
      <c r="S51" s="1"/>
      <c r="T51" s="1"/>
      <c r="U51" s="1"/>
      <c r="V51" s="1"/>
      <c r="W51" s="1"/>
      <c r="X51" s="1"/>
      <c r="Y51" s="1"/>
      <c r="Z51" s="1"/>
      <c r="AA51" s="1"/>
      <c r="AB51" s="1"/>
      <c r="AC51" s="1"/>
      <c r="AD51" s="1"/>
      <c r="AE51" s="1"/>
      <c r="AF51" s="1"/>
      <c r="AG51" s="1"/>
    </row>
    <row r="52" spans="1:33" ht="15.75" customHeight="1">
      <c r="A52" s="33"/>
      <c r="B52" s="33"/>
      <c r="C52" s="33"/>
      <c r="D52" s="33"/>
      <c r="E52" s="33"/>
      <c r="F52" s="33"/>
      <c r="G52" s="33"/>
      <c r="H52" s="33"/>
      <c r="I52" s="33"/>
      <c r="J52" s="33"/>
      <c r="K52" s="33"/>
      <c r="L52" s="33"/>
      <c r="M52" s="33"/>
      <c r="N52" s="1"/>
      <c r="O52" s="1"/>
      <c r="P52" s="1"/>
      <c r="Q52" s="1"/>
      <c r="R52" s="1"/>
      <c r="S52" s="1"/>
      <c r="T52" s="1"/>
      <c r="U52" s="1"/>
      <c r="V52" s="1"/>
      <c r="W52" s="1"/>
      <c r="X52" s="1"/>
      <c r="Y52" s="1"/>
      <c r="Z52" s="1"/>
      <c r="AA52" s="1"/>
      <c r="AB52" s="1"/>
      <c r="AC52" s="1"/>
      <c r="AD52" s="1"/>
      <c r="AE52" s="1"/>
      <c r="AF52" s="1"/>
      <c r="AG52" s="1"/>
    </row>
    <row r="53" spans="1:33" ht="15.75" customHeight="1">
      <c r="A53" s="33"/>
      <c r="B53" s="33"/>
      <c r="C53" s="33"/>
      <c r="D53" s="33"/>
      <c r="E53" s="33"/>
      <c r="F53" s="33"/>
      <c r="G53" s="33"/>
      <c r="H53" s="33"/>
      <c r="I53" s="33"/>
      <c r="J53" s="33"/>
      <c r="K53" s="33"/>
      <c r="L53" s="33"/>
      <c r="M53" s="33"/>
      <c r="N53" s="1"/>
      <c r="O53" s="1"/>
      <c r="P53" s="1"/>
      <c r="Q53" s="1"/>
      <c r="R53" s="1"/>
      <c r="S53" s="1"/>
      <c r="T53" s="1"/>
      <c r="U53" s="1"/>
      <c r="V53" s="1"/>
      <c r="W53" s="1"/>
      <c r="X53" s="1"/>
      <c r="Y53" s="1"/>
      <c r="Z53" s="1"/>
      <c r="AA53" s="1"/>
      <c r="AB53" s="1"/>
      <c r="AC53" s="1"/>
      <c r="AD53" s="1"/>
      <c r="AE53" s="1"/>
      <c r="AF53" s="1"/>
      <c r="AG53" s="1"/>
    </row>
    <row r="54" spans="1:33"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row>
    <row r="55" spans="1:33"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row>
    <row r="56" spans="1:33"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row>
    <row r="57" spans="1:33"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row>
    <row r="58" spans="1:33"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row>
    <row r="59" spans="1:33"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row>
    <row r="60" spans="1:33"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row>
    <row r="61" spans="1:33"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row>
    <row r="62" spans="1:33"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row>
    <row r="63" spans="1:33"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row>
    <row r="64" spans="1:33"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row>
    <row r="65" spans="1:33"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row>
    <row r="66" spans="1:33"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row>
    <row r="67" spans="1:33"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row>
    <row r="68" spans="1:33"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row>
    <row r="69" spans="1:33"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row>
    <row r="70" spans="1:33"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row>
    <row r="71" spans="1:33"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row>
    <row r="72" spans="1:33"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row>
    <row r="73" spans="1:33"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row>
    <row r="74" spans="1:33"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row>
    <row r="75" spans="1:33"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row>
    <row r="76" spans="1:33"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row>
    <row r="77" spans="1:33"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row>
    <row r="78" spans="1:33"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row>
    <row r="79" spans="1:33"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row>
    <row r="80" spans="1:33"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row>
    <row r="81" spans="1:33"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row>
    <row r="82" spans="1:33"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row>
    <row r="83" spans="1:33"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row>
    <row r="84" spans="1:33"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row>
    <row r="85" spans="1:33"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row>
    <row r="86" spans="1:33"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row>
    <row r="87" spans="1:33"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row>
    <row r="88" spans="1:33"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row>
    <row r="89" spans="1:33"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row>
    <row r="90" spans="1:33"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row>
    <row r="91" spans="1:33"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row>
    <row r="92" spans="1:33"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row>
    <row r="93" spans="1:33"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row>
    <row r="94" spans="1:33"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row>
    <row r="95" spans="1:33"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row>
    <row r="96" spans="1:33"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row>
    <row r="97" spans="1:33"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row>
    <row r="98" spans="1:33"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row>
    <row r="99" spans="1:33"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row>
    <row r="100" spans="1:33"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row>
    <row r="101" spans="1:33"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row>
    <row r="102" spans="1:33"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row>
    <row r="103" spans="1:33"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row>
    <row r="104" spans="1:33"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row>
    <row r="105" spans="1:33"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row>
    <row r="106" spans="1:33"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row>
    <row r="107" spans="1:33"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row>
    <row r="108" spans="1:33"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row>
    <row r="109" spans="1:33"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row>
    <row r="110" spans="1:33"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row>
    <row r="111" spans="1:33"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row>
    <row r="112" spans="1:33"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row>
    <row r="113" spans="1:33"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row>
    <row r="114" spans="1:33"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row>
    <row r="115" spans="1:33"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row>
    <row r="116" spans="1:33"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row>
    <row r="117" spans="1:33"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row>
    <row r="118" spans="1:33"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row>
    <row r="119" spans="1:33"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row>
    <row r="120" spans="1:33"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row>
    <row r="121" spans="1:33"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row>
    <row r="122" spans="1:33"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row>
    <row r="123" spans="1:33"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row>
    <row r="124" spans="1:33"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row>
    <row r="125" spans="1:33"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row>
    <row r="126" spans="1:33"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row>
    <row r="127" spans="1:33"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row>
    <row r="128" spans="1:33"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row>
    <row r="129" spans="1:33"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row>
    <row r="130" spans="1:33"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row>
    <row r="131" spans="1:33"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row>
    <row r="132" spans="1:33"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row>
    <row r="133" spans="1:33"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row>
    <row r="134" spans="1:33"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row>
    <row r="135" spans="1:33"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row>
    <row r="136" spans="1:33"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row>
    <row r="137" spans="1:33"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row>
    <row r="138" spans="1:33"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row>
    <row r="139" spans="1:33"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row>
    <row r="140" spans="1:33"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row>
    <row r="141" spans="1:33"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row>
    <row r="142" spans="1:33"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row>
    <row r="143" spans="1:33"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row>
    <row r="144" spans="1:33"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row>
    <row r="145" spans="1:33"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row>
    <row r="146" spans="1:33"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row>
    <row r="147" spans="1:33"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row>
    <row r="148" spans="1:33"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row>
    <row r="149" spans="1:33"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row>
    <row r="150" spans="1:33"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row>
    <row r="151" spans="1:33"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row>
    <row r="152" spans="1:33"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row>
    <row r="153" spans="1:33"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row>
    <row r="154" spans="1:33"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row>
    <row r="155" spans="1:33"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row>
    <row r="156" spans="1:33"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row>
    <row r="157" spans="1:33"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row>
    <row r="158" spans="1:33"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row>
    <row r="159" spans="1:33"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row>
    <row r="160" spans="1:33"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row>
    <row r="161" spans="1:33"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row>
    <row r="162" spans="1:33"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row>
    <row r="163" spans="1:33"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row>
    <row r="164" spans="1:33"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row>
    <row r="165" spans="1:33"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row>
    <row r="166" spans="1:33"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row>
    <row r="167" spans="1:33"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row>
    <row r="168" spans="1:33"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row>
    <row r="169" spans="1:33"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row>
    <row r="170" spans="1:33"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row>
    <row r="171" spans="1:33"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row>
    <row r="172" spans="1:33"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row>
    <row r="173" spans="1:33"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row>
    <row r="174" spans="1:33"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row>
    <row r="175" spans="1:33"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row>
    <row r="176" spans="1:33"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row>
    <row r="177" spans="1:33"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row>
    <row r="178" spans="1:33"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row>
    <row r="179" spans="1:33"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row>
    <row r="180" spans="1:33"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row>
    <row r="181" spans="1:33"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row>
    <row r="182" spans="1:33"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row>
    <row r="183" spans="1:33"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row>
    <row r="184" spans="1:33"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row>
    <row r="185" spans="1:33"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row>
    <row r="186" spans="1:33"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row>
    <row r="187" spans="1:33"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row>
    <row r="188" spans="1:33"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row>
    <row r="189" spans="1:33"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row>
    <row r="190" spans="1:33"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row>
    <row r="191" spans="1:33"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row>
    <row r="192" spans="1:33"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row>
    <row r="193" spans="1:33"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row>
    <row r="194" spans="1:33"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row>
    <row r="195" spans="1:33"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row>
    <row r="196" spans="1:33"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row>
    <row r="197" spans="1:33"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row>
    <row r="198" spans="1:33"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row>
    <row r="199" spans="1:33"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row>
    <row r="200" spans="1:33"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row>
    <row r="201" spans="1:33"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row>
    <row r="202" spans="1:33"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row>
    <row r="203" spans="1:33"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row>
    <row r="204" spans="1:33"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row>
    <row r="205" spans="1:33"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row>
    <row r="206" spans="1:33"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row>
    <row r="207" spans="1:33"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row>
    <row r="208" spans="1:33"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row>
    <row r="209" spans="1:33"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row>
    <row r="210" spans="1:33"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row>
    <row r="211" spans="1:33"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row>
    <row r="212" spans="1:33"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row>
    <row r="213" spans="1:33"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row>
    <row r="214" spans="1:33"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row>
    <row r="215" spans="1:33"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row>
    <row r="216" spans="1:33"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row>
    <row r="217" spans="1:33"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row>
    <row r="218" spans="1:33"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row>
    <row r="219" spans="1:33"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row>
    <row r="220" spans="1:33"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row>
    <row r="221" spans="1:33"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row>
    <row r="222" spans="1:33"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row>
    <row r="223" spans="1:33"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row>
    <row r="224" spans="1:33"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row>
    <row r="225" spans="1:33"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row>
    <row r="226" spans="1:33"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row>
    <row r="227" spans="1:33"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row>
    <row r="228" spans="1:33"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row>
    <row r="229" spans="1:33"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row>
    <row r="230" spans="1:33"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row>
    <row r="231" spans="1:33"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row>
    <row r="232" spans="1:33"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row>
    <row r="233" spans="1:33"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row>
    <row r="234" spans="1:33"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row>
    <row r="235" spans="1:33"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row>
    <row r="236" spans="1:33"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row>
    <row r="237" spans="1:33"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row>
    <row r="238" spans="1:33"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row>
    <row r="239" spans="1:33"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row>
    <row r="240" spans="1:33"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row>
    <row r="241" spans="1:33"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row>
    <row r="242" spans="1:33"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row>
    <row r="243" spans="1:33"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row>
    <row r="244" spans="1:33"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row>
    <row r="245" spans="1:33" ht="15.75" customHeight="1"/>
    <row r="246" spans="1:33" ht="15.75" customHeight="1"/>
    <row r="247" spans="1:33" ht="15.75" customHeight="1"/>
    <row r="248" spans="1:33" ht="15.75" customHeight="1"/>
    <row r="249" spans="1:33" ht="15.75" customHeight="1"/>
    <row r="250" spans="1:33" ht="15.75" customHeight="1"/>
    <row r="251" spans="1:33" ht="15.75" customHeight="1"/>
    <row r="252" spans="1:33" ht="15.75" customHeight="1"/>
    <row r="253" spans="1:33" ht="15.75" customHeight="1"/>
    <row r="254" spans="1:33" ht="15.75" customHeight="1"/>
    <row r="255" spans="1:33" ht="15.75" customHeight="1"/>
    <row r="256" spans="1:33"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4">
    <mergeCell ref="I2:J2"/>
    <mergeCell ref="A13:D13"/>
    <mergeCell ref="A15:C15"/>
    <mergeCell ref="E15:G15"/>
  </mergeCells>
  <dataValidations count="2">
    <dataValidation type="list" allowBlank="1" showErrorMessage="1" sqref="I20" xr:uid="{00000000-0002-0000-0400-000000000000}">
      <formula1>$K$20:$K$44</formula1>
    </dataValidation>
    <dataValidation type="list" allowBlank="1" showErrorMessage="1" sqref="I22" xr:uid="{00000000-0002-0000-0400-000001000000}">
      <formula1>$M$20:$M$28</formula1>
    </dataValidation>
  </dataValidations>
  <pageMargins left="0.7" right="0.7" top="0.75" bottom="0.75" header="0" footer="0"/>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Home</vt:lpstr>
      <vt:lpstr>Baseline Data</vt:lpstr>
      <vt:lpstr>Predictions </vt:lpstr>
      <vt:lpstr>Graphs</vt:lpstr>
      <vt:lpstr>Help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Nathan Nsiah</dc:creator>
  <cp:lastModifiedBy>Nsiah, Nathan O</cp:lastModifiedBy>
  <dcterms:created xsi:type="dcterms:W3CDTF">2022-05-12T08:57:07Z</dcterms:created>
  <dcterms:modified xsi:type="dcterms:W3CDTF">2025-09-15T12:40:55Z</dcterms:modified>
</cp:coreProperties>
</file>